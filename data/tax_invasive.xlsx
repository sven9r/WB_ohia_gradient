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sven9r/Desktop/Berkeley/projects/2025_03_ohia_gradient/output/"/>
    </mc:Choice>
  </mc:AlternateContent>
  <xr:revisionPtr revIDLastSave="0" documentId="13_ncr:1_{EFC531C3-2AE3-714E-A819-B11E916B91E9}" xr6:coauthVersionLast="47" xr6:coauthVersionMax="47" xr10:uidLastSave="{00000000-0000-0000-0000-000000000000}"/>
  <bookViews>
    <workbookView xWindow="0" yWindow="0" windowWidth="38400" windowHeight="21600" activeTab="2" xr2:uid="{00000000-000D-0000-FFFF-FFFF00000000}"/>
  </bookViews>
  <sheets>
    <sheet name="Sheet1" sheetId="5" r:id="rId1"/>
    <sheet name="taxonomy" sheetId="4" r:id="rId2"/>
    <sheet name="taxonomy_bold" sheetId="6" r:id="rId3"/>
  </sheets>
  <definedNames>
    <definedName name="_xlnm._FilterDatabase" localSheetId="1" hidden="1">taxonomy!$A$1:$L$858</definedName>
    <definedName name="_xlnm._FilterDatabase" localSheetId="2" hidden="1">taxonomy_bold!$A$1:$P$909</definedName>
  </definedNames>
  <calcPr calcId="191029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5" i="4" l="1"/>
  <c r="H353" i="4"/>
  <c r="H63" i="4"/>
  <c r="H115" i="4"/>
  <c r="H747" i="4"/>
  <c r="H684" i="4"/>
  <c r="H664" i="4"/>
  <c r="H541" i="4"/>
  <c r="H754" i="4"/>
  <c r="H181" i="4"/>
  <c r="H766" i="4"/>
  <c r="H156" i="4"/>
  <c r="H146" i="4"/>
  <c r="H235" i="4"/>
  <c r="H182" i="4"/>
  <c r="H293" i="4"/>
  <c r="H420" i="4"/>
  <c r="H613" i="4"/>
  <c r="H534" i="4"/>
  <c r="H535" i="4"/>
  <c r="H577" i="4"/>
  <c r="H536" i="4"/>
  <c r="H209" i="4"/>
  <c r="H269" i="4"/>
  <c r="H770" i="4"/>
  <c r="H313" i="4"/>
  <c r="H274" i="4"/>
  <c r="H154" i="4"/>
  <c r="H196" i="4"/>
  <c r="H593" i="4"/>
  <c r="H773" i="4"/>
  <c r="H295" i="4"/>
  <c r="H294" i="4"/>
  <c r="H279" i="4"/>
  <c r="H480" i="4"/>
  <c r="H481" i="4"/>
  <c r="H482" i="4"/>
  <c r="H583" i="4"/>
  <c r="H323" i="4"/>
  <c r="H324" i="4"/>
  <c r="H140" i="4"/>
  <c r="H139" i="4"/>
  <c r="H40" i="4"/>
  <c r="H48" i="4"/>
  <c r="H400" i="4"/>
  <c r="H261" i="4"/>
  <c r="H388" i="4"/>
  <c r="H375" i="4"/>
  <c r="H426" i="4"/>
  <c r="H347" i="4"/>
  <c r="H466" i="4"/>
  <c r="H348" i="4"/>
  <c r="H429" i="4"/>
  <c r="H392" i="4"/>
  <c r="H405" i="4"/>
  <c r="H427" i="4"/>
  <c r="H389" i="4"/>
  <c r="H366" i="4"/>
  <c r="H367" i="4"/>
  <c r="H349" i="4"/>
  <c r="H428" i="4"/>
  <c r="H390" i="4"/>
  <c r="H391" i="4"/>
  <c r="H215" i="4"/>
  <c r="H33" i="4"/>
  <c r="H178" i="4"/>
  <c r="H364" i="4"/>
  <c r="H337" i="4"/>
  <c r="H291" i="4"/>
  <c r="H338" i="4"/>
  <c r="H207" i="4"/>
  <c r="H289" i="4"/>
  <c r="H173" i="4"/>
  <c r="H290" i="4"/>
  <c r="H717" i="4"/>
  <c r="H273" i="4"/>
  <c r="H360" i="4"/>
  <c r="H30" i="4"/>
  <c r="H186" i="4"/>
  <c r="H31" i="4"/>
  <c r="H46" i="4"/>
  <c r="H363" i="4"/>
  <c r="H546" i="4"/>
  <c r="H59" i="4"/>
  <c r="H796" i="4"/>
  <c r="H372" i="4"/>
  <c r="H494" i="4"/>
  <c r="H797" i="4"/>
  <c r="H798" i="4"/>
  <c r="H799" i="4"/>
  <c r="H800" i="4"/>
  <c r="H504" i="4"/>
  <c r="H212" i="4"/>
  <c r="H344" i="4"/>
  <c r="H297" i="4"/>
  <c r="H422" i="4"/>
  <c r="H457" i="4"/>
  <c r="H412" i="4"/>
  <c r="H543" i="4"/>
  <c r="H458" i="4"/>
  <c r="H421" i="4"/>
  <c r="H556" i="4"/>
  <c r="H533" i="4"/>
  <c r="H637" i="4"/>
  <c r="H585" i="4"/>
  <c r="H584" i="4"/>
  <c r="H168" i="4"/>
  <c r="H169" i="4"/>
  <c r="H361" i="4"/>
  <c r="H359" i="4"/>
  <c r="H399" i="4"/>
  <c r="H838" i="4"/>
  <c r="H842" i="4"/>
  <c r="H721" i="4"/>
  <c r="H519" i="4"/>
  <c r="H232" i="4"/>
  <c r="H729" i="4"/>
  <c r="H373" i="4"/>
  <c r="H329" i="4"/>
  <c r="H488" i="4"/>
  <c r="H112" i="4"/>
  <c r="H264" i="4"/>
  <c r="H276" i="4"/>
  <c r="H247" i="4"/>
  <c r="H167" i="4"/>
  <c r="H815" i="4"/>
  <c r="H507" i="4"/>
  <c r="H710" i="4"/>
  <c r="H236" i="4"/>
  <c r="H616" i="4"/>
  <c r="H23" i="4"/>
  <c r="H74" i="4"/>
  <c r="H134" i="4"/>
  <c r="H175" i="4"/>
  <c r="H135" i="4"/>
  <c r="H853" i="4"/>
  <c r="H376" i="4"/>
  <c r="H278" i="4"/>
  <c r="H214" i="4"/>
  <c r="H306" i="4"/>
  <c r="H680" i="4"/>
  <c r="H737" i="4"/>
  <c r="H662" i="4"/>
  <c r="H530" i="4"/>
  <c r="H75" i="4"/>
  <c r="H111" i="4"/>
  <c r="H51" i="4"/>
  <c r="H42" i="4"/>
  <c r="H453" i="4"/>
  <c r="H418" i="4"/>
  <c r="H108" i="4"/>
</calcChain>
</file>

<file path=xl/sharedStrings.xml><?xml version="1.0" encoding="utf-8"?>
<sst xmlns="http://schemas.openxmlformats.org/spreadsheetml/2006/main" count="16490" uniqueCount="2717">
  <si>
    <t>zotu_id</t>
  </si>
  <si>
    <t>zotu_num</t>
  </si>
  <si>
    <t>perc_id</t>
  </si>
  <si>
    <t>id_diff</t>
  </si>
  <si>
    <t>same_family</t>
  </si>
  <si>
    <t>same_genus</t>
  </si>
  <si>
    <t>same_species</t>
  </si>
  <si>
    <t>genus</t>
  </si>
  <si>
    <t>species</t>
  </si>
  <si>
    <t>Zotu1</t>
  </si>
  <si>
    <t>yes</t>
  </si>
  <si>
    <t>Nan</t>
  </si>
  <si>
    <t>Tomocerus</t>
  </si>
  <si>
    <t>Tomocerus minor</t>
  </si>
  <si>
    <t>Zotu7</t>
  </si>
  <si>
    <t>Stigmaeidae sp. BOLD:ABV1824</t>
  </si>
  <si>
    <t>Zotu9</t>
  </si>
  <si>
    <t>Tomocerus sp. CNFNT1936-14</t>
  </si>
  <si>
    <t>Tomocerus sp. BOLD:ACJ1722</t>
  </si>
  <si>
    <t>Zotu12</t>
  </si>
  <si>
    <t>Thrips</t>
  </si>
  <si>
    <t>Thrips orientalis</t>
  </si>
  <si>
    <t>Zotu13</t>
  </si>
  <si>
    <t>Theridiidae</t>
  </si>
  <si>
    <t>Theridion</t>
  </si>
  <si>
    <t>Theridion grallator</t>
  </si>
  <si>
    <t>Zotu15</t>
  </si>
  <si>
    <t>Piratula</t>
  </si>
  <si>
    <t>Piratula latitans</t>
  </si>
  <si>
    <t>Zotu16</t>
  </si>
  <si>
    <t>Gonatopus</t>
  </si>
  <si>
    <t>Gonatopus sp. BOLD-2016</t>
  </si>
  <si>
    <t>Zotu17</t>
  </si>
  <si>
    <t>Erebidae</t>
  </si>
  <si>
    <t>Sympis</t>
  </si>
  <si>
    <t>Sympis rufibasis</t>
  </si>
  <si>
    <t>Crambidae</t>
  </si>
  <si>
    <t>Tauroscopa</t>
  </si>
  <si>
    <t>Tauroscopa lachnaea</t>
  </si>
  <si>
    <t>Zotu18</t>
  </si>
  <si>
    <t>Lepidopsocidae sp. sc_08436</t>
  </si>
  <si>
    <t>Lepidopsocidae sp. sc_06412</t>
  </si>
  <si>
    <t>Zotu19</t>
  </si>
  <si>
    <t>Lygomusotima</t>
  </si>
  <si>
    <t>Lygomusotima stria</t>
  </si>
  <si>
    <t>Zotu20</t>
  </si>
  <si>
    <t>Trigonidiidae</t>
  </si>
  <si>
    <t>Homoeoxipha</t>
  </si>
  <si>
    <t>Homoeoxipha obliterata</t>
  </si>
  <si>
    <t>Gryllidae</t>
  </si>
  <si>
    <t>Gryllidae sp. sc_04139</t>
  </si>
  <si>
    <t>Zotu22</t>
  </si>
  <si>
    <t>Hippodamia</t>
  </si>
  <si>
    <t>Hippodamia arctica</t>
  </si>
  <si>
    <t>Coccinellidae sp. INDOBIOSYS-CCDB25369-A06</t>
  </si>
  <si>
    <t>Zotu23</t>
  </si>
  <si>
    <t>Aleurodicinae sp.</t>
  </si>
  <si>
    <t>Metaleurodicus</t>
  </si>
  <si>
    <t>Metaleurodicus cardini</t>
  </si>
  <si>
    <t>Zotu25</t>
  </si>
  <si>
    <t>Talitroides</t>
  </si>
  <si>
    <t>Talitroides topitotum</t>
  </si>
  <si>
    <t>Zotu29</t>
  </si>
  <si>
    <t>Zotu30</t>
  </si>
  <si>
    <t>Tarsonemidae</t>
  </si>
  <si>
    <t>Tarsonemidae sp. BOLD:ACW5507</t>
  </si>
  <si>
    <t>Zotu32</t>
  </si>
  <si>
    <t>Kilauella</t>
  </si>
  <si>
    <t>Kilauella sp. KispEL</t>
  </si>
  <si>
    <t>Zotu33</t>
  </si>
  <si>
    <t>Dictyna sp.</t>
  </si>
  <si>
    <t>Dictyna</t>
  </si>
  <si>
    <t>Dictyna sp. MH1</t>
  </si>
  <si>
    <t>Zotu34</t>
  </si>
  <si>
    <t>Orius laticollis</t>
  </si>
  <si>
    <t>Orius</t>
  </si>
  <si>
    <t>Orius majusculus</t>
  </si>
  <si>
    <t>Zotu36</t>
  </si>
  <si>
    <t>Zotu40</t>
  </si>
  <si>
    <t>Ceratopogonidae</t>
  </si>
  <si>
    <t>Limoniidae</t>
  </si>
  <si>
    <t>Conosia</t>
  </si>
  <si>
    <t>Conosia irrorata</t>
  </si>
  <si>
    <t>Zotu41</t>
  </si>
  <si>
    <t>Zotu42</t>
  </si>
  <si>
    <t>Ceracris</t>
  </si>
  <si>
    <t>Ceracris kiangsu</t>
  </si>
  <si>
    <t>Zotu46</t>
  </si>
  <si>
    <t>Lepidoptera sp. sc_09511</t>
  </si>
  <si>
    <t>Dryadaula</t>
  </si>
  <si>
    <t>Dryadaula terpsichorella</t>
  </si>
  <si>
    <t>Zotu49</t>
  </si>
  <si>
    <t>Myrmarachne cf. melanocephala PUZ IMP 1070</t>
  </si>
  <si>
    <t>Myrmarachne</t>
  </si>
  <si>
    <t>Myrmarachne gisti</t>
  </si>
  <si>
    <t>Zotu52</t>
  </si>
  <si>
    <t>Vespa</t>
  </si>
  <si>
    <t>Vespa velutina</t>
  </si>
  <si>
    <t>Zotu53</t>
  </si>
  <si>
    <t>Pteromalidae</t>
  </si>
  <si>
    <t>Pteromalidae sp. BIOUG25122-G03</t>
  </si>
  <si>
    <t>Ophelimus</t>
  </si>
  <si>
    <t>Ophelimus sp. 1 RJH-2019</t>
  </si>
  <si>
    <t>Zotu54</t>
  </si>
  <si>
    <t>Thaumetopoea</t>
  </si>
  <si>
    <t>Thaumetopoea herculeana</t>
  </si>
  <si>
    <t>Zotu56</t>
  </si>
  <si>
    <t>Philodoria nr. basalis AYK-HI10-002</t>
  </si>
  <si>
    <t>Philodoria</t>
  </si>
  <si>
    <t>Philodoria basalis</t>
  </si>
  <si>
    <t>Zotu60</t>
  </si>
  <si>
    <t>Chironomidae</t>
  </si>
  <si>
    <t>Zotu64</t>
  </si>
  <si>
    <t>Coccinellidae sp. BOLD:AAN6213</t>
  </si>
  <si>
    <t>Zotu66</t>
  </si>
  <si>
    <t>Rugathodes</t>
  </si>
  <si>
    <t>Rugathodes sexpunctatus</t>
  </si>
  <si>
    <t>Zotu67</t>
  </si>
  <si>
    <t>Dicyrtomidae</t>
  </si>
  <si>
    <t>Entomobryidae</t>
  </si>
  <si>
    <t>Zotu69</t>
  </si>
  <si>
    <t>Burmoniscus</t>
  </si>
  <si>
    <t>Burmoniscus kathmandius</t>
  </si>
  <si>
    <t>Zotu70</t>
  </si>
  <si>
    <t>Abstrigonidium</t>
  </si>
  <si>
    <t>Abstrigonidium chloropodum</t>
  </si>
  <si>
    <t>Zotu71</t>
  </si>
  <si>
    <t>Triophtydeidae</t>
  </si>
  <si>
    <t>Triophtydeus</t>
  </si>
  <si>
    <t>Triophtydeus sp. BIOUG24230-C10</t>
  </si>
  <si>
    <t>Zotu72</t>
  </si>
  <si>
    <t>Brachycentridae</t>
  </si>
  <si>
    <t>Brachycentrus</t>
  </si>
  <si>
    <t>Brachycentrus appalachia</t>
  </si>
  <si>
    <t>Lepidostoma</t>
  </si>
  <si>
    <t>Lepidostoma pratetaiense</t>
  </si>
  <si>
    <t>Zotu74</t>
  </si>
  <si>
    <t>Opogona sacchari</t>
  </si>
  <si>
    <t>Opogona</t>
  </si>
  <si>
    <t>Opogona omoscopa</t>
  </si>
  <si>
    <t>Zotu79</t>
  </si>
  <si>
    <t>Xyloryctidae</t>
  </si>
  <si>
    <t>Leptobelistis</t>
  </si>
  <si>
    <t>Leptobelistis isthmodes</t>
  </si>
  <si>
    <t>Oecophoridae</t>
  </si>
  <si>
    <t>Barea</t>
  </si>
  <si>
    <t>Barea hylodroma</t>
  </si>
  <si>
    <t>Zotu80</t>
  </si>
  <si>
    <t>Technomyrmex sp. AAF8680</t>
  </si>
  <si>
    <t>Technomyrmex</t>
  </si>
  <si>
    <t>Technomyrmex albipes</t>
  </si>
  <si>
    <t>Zotu82</t>
  </si>
  <si>
    <t>Zotu87</t>
  </si>
  <si>
    <t>Agrypninae sp. BOLD:AAM6639</t>
  </si>
  <si>
    <t>Conoderus</t>
  </si>
  <si>
    <t>Conoderus sp. BOLD:AAM7703</t>
  </si>
  <si>
    <t>Zotu89</t>
  </si>
  <si>
    <t>Chrysotus</t>
  </si>
  <si>
    <t>Chrysotus sp. JSYKA071-09</t>
  </si>
  <si>
    <t>Dolichopodidae</t>
  </si>
  <si>
    <t>Dolichopodidae sp.</t>
  </si>
  <si>
    <t>Zotu99</t>
  </si>
  <si>
    <t>Lepidopsocidae sp. sc_06380</t>
  </si>
  <si>
    <t>Lepidopsocidae sp. sc_06378</t>
  </si>
  <si>
    <t>Zotu109</t>
  </si>
  <si>
    <t>Nonlygus</t>
  </si>
  <si>
    <t>Nonlygus nubilatus</t>
  </si>
  <si>
    <t>Eurystylus</t>
  </si>
  <si>
    <t>Eurystylus coelestialium</t>
  </si>
  <si>
    <t>Zotu118</t>
  </si>
  <si>
    <t>Schrankia</t>
  </si>
  <si>
    <t>Schrankia costaestrigalis</t>
  </si>
  <si>
    <t>Zotu122</t>
  </si>
  <si>
    <t>Lepidopsocidae sp. sc_08438</t>
  </si>
  <si>
    <t>Lepidopsocidae sp. sc_08437</t>
  </si>
  <si>
    <t>Zotu123</t>
  </si>
  <si>
    <t>Drosophila</t>
  </si>
  <si>
    <t>Drosophilidae</t>
  </si>
  <si>
    <t>Zotu124</t>
  </si>
  <si>
    <t>Technomyrmex fisheri</t>
  </si>
  <si>
    <t>Technomyrmex difficilis</t>
  </si>
  <si>
    <t>Zotu126</t>
  </si>
  <si>
    <t>Culicoides</t>
  </si>
  <si>
    <t>Culicoides sp. BIOUG21053-C02</t>
  </si>
  <si>
    <t>Trigonidiidae sp.</t>
  </si>
  <si>
    <t>Zotu128</t>
  </si>
  <si>
    <t>Zotu129</t>
  </si>
  <si>
    <t>Stigmaeidae sp. BOLD:ABV1832</t>
  </si>
  <si>
    <t>Zotu133</t>
  </si>
  <si>
    <t>Folsomotoma</t>
  </si>
  <si>
    <t>Folsomotoma octooculata</t>
  </si>
  <si>
    <t>Zotu134</t>
  </si>
  <si>
    <t>Orsilochides</t>
  </si>
  <si>
    <t>Orsilochides guttata</t>
  </si>
  <si>
    <t>Zotu137</t>
  </si>
  <si>
    <t>Heptageniidae</t>
  </si>
  <si>
    <t>Rhithrogena</t>
  </si>
  <si>
    <t>Rhithrogena uhari group sp. HIEPT188-10</t>
  </si>
  <si>
    <t>Daphniidae</t>
  </si>
  <si>
    <t>Ceriodaphnia</t>
  </si>
  <si>
    <t>Ceriodaphnia cf. rigaudi 2 MEG-2008</t>
  </si>
  <si>
    <t>Zotu138</t>
  </si>
  <si>
    <t>Zotu143</t>
  </si>
  <si>
    <t>Zotu144</t>
  </si>
  <si>
    <t>Xylosandrus</t>
  </si>
  <si>
    <t>Xylosandrus compactus</t>
  </si>
  <si>
    <t>Zotu146</t>
  </si>
  <si>
    <t>Zotu147</t>
  </si>
  <si>
    <t>Zotu150</t>
  </si>
  <si>
    <t>Melyridae</t>
  </si>
  <si>
    <t>Melyridae sp. BOLD:AAN6003</t>
  </si>
  <si>
    <t>Staphylinidae sp. sc_01372</t>
  </si>
  <si>
    <t>Zotu151</t>
  </si>
  <si>
    <t>Dolichopodidae sp. BOLD:AAM6780</t>
  </si>
  <si>
    <t>Dolichopodidae sp. sc_02791</t>
  </si>
  <si>
    <t>Zotu153</t>
  </si>
  <si>
    <t>Zotu155</t>
  </si>
  <si>
    <t>Aname</t>
  </si>
  <si>
    <t>Aname mellosa</t>
  </si>
  <si>
    <t>Zotu159</t>
  </si>
  <si>
    <t>Allograpta sp. BIOUG31742-F04</t>
  </si>
  <si>
    <t>Syrphidae</t>
  </si>
  <si>
    <t>Allograpta</t>
  </si>
  <si>
    <t>Allograpta obliqua</t>
  </si>
  <si>
    <t>Zotu161</t>
  </si>
  <si>
    <t>Cosmopterigidae</t>
  </si>
  <si>
    <t>Hyposmocoma</t>
  </si>
  <si>
    <t>Hyposmocoma kamaula</t>
  </si>
  <si>
    <t>Zotu163</t>
  </si>
  <si>
    <t>Glaphyria</t>
  </si>
  <si>
    <t>Glaphyria glaphyralis</t>
  </si>
  <si>
    <t>Carposinidae</t>
  </si>
  <si>
    <t>Carposina</t>
  </si>
  <si>
    <t>Carposina sp. BOLD:AAG8486</t>
  </si>
  <si>
    <t>Zotu166</t>
  </si>
  <si>
    <t>Endoclita</t>
  </si>
  <si>
    <t>Endoclita nodus</t>
  </si>
  <si>
    <t>Zotu168</t>
  </si>
  <si>
    <t>Entomobrya</t>
  </si>
  <si>
    <t>Entomobrya nivalis</t>
  </si>
  <si>
    <t>Zotu169</t>
  </si>
  <si>
    <t>Geometridae</t>
  </si>
  <si>
    <t>Earophila</t>
  </si>
  <si>
    <t>Earophila badiata</t>
  </si>
  <si>
    <t>Stoeberhinus</t>
  </si>
  <si>
    <t>Stoeberhinus testaceus</t>
  </si>
  <si>
    <t>Zotu171</t>
  </si>
  <si>
    <t>Afronothrus</t>
  </si>
  <si>
    <t>Afronothrus sp. AD453</t>
  </si>
  <si>
    <t>Zotu175</t>
  </si>
  <si>
    <t>Melipotis</t>
  </si>
  <si>
    <t>Melipotis fasciolaris</t>
  </si>
  <si>
    <t>Ophiusa</t>
  </si>
  <si>
    <t>Ophiusa disjungens</t>
  </si>
  <si>
    <t>Zotu178</t>
  </si>
  <si>
    <t>Noctuidae</t>
  </si>
  <si>
    <t>Tarache</t>
  </si>
  <si>
    <t>Tarache cora</t>
  </si>
  <si>
    <t>Lepidoptera sp. BOLD:AAA0891</t>
  </si>
  <si>
    <t>Zotu179</t>
  </si>
  <si>
    <t>Geometridae sp. BOLD:AAM6716</t>
  </si>
  <si>
    <t>Zotu182</t>
  </si>
  <si>
    <t>Thrips palmi</t>
  </si>
  <si>
    <t>Zotu184</t>
  </si>
  <si>
    <t>Drosophila suzukii</t>
  </si>
  <si>
    <t>Zotu187</t>
  </si>
  <si>
    <t>Lachesillidae</t>
  </si>
  <si>
    <t>Lachesilla</t>
  </si>
  <si>
    <t>Lachesilla pedicularia</t>
  </si>
  <si>
    <t>Apohyale</t>
  </si>
  <si>
    <t>Apohyale media</t>
  </si>
  <si>
    <t>Zotu189</t>
  </si>
  <si>
    <t>Austrocentrus</t>
  </si>
  <si>
    <t>Austrocentrus griseus</t>
  </si>
  <si>
    <t>Zotu190</t>
  </si>
  <si>
    <t>Zotu195</t>
  </si>
  <si>
    <t>Delphacidae</t>
  </si>
  <si>
    <t>Saccharosydne</t>
  </si>
  <si>
    <t>Saccharosydne procerus</t>
  </si>
  <si>
    <t>Zotu198</t>
  </si>
  <si>
    <t>Laelapidae</t>
  </si>
  <si>
    <t>Laelaps</t>
  </si>
  <si>
    <t>Laelaps muricola</t>
  </si>
  <si>
    <t>Ichneumonidae</t>
  </si>
  <si>
    <t>Rynchobanchus</t>
  </si>
  <si>
    <t>Rynchobanchus minomensis</t>
  </si>
  <si>
    <t>Zotu199</t>
  </si>
  <si>
    <t>Anaxiphomorpha</t>
  </si>
  <si>
    <t>Anaxiphomorpha brevisparamerus</t>
  </si>
  <si>
    <t>Zotu201</t>
  </si>
  <si>
    <t>Zotu203</t>
  </si>
  <si>
    <t>Strumigenys</t>
  </si>
  <si>
    <t>Strumigenys rogeri</t>
  </si>
  <si>
    <t>Zotu206</t>
  </si>
  <si>
    <t>Periplaneta</t>
  </si>
  <si>
    <t>Periplaneta australasiae</t>
  </si>
  <si>
    <t>Zotu207</t>
  </si>
  <si>
    <t>Zotu210</t>
  </si>
  <si>
    <t>Ornebius</t>
  </si>
  <si>
    <t>Ornebius bimaculatus</t>
  </si>
  <si>
    <t>Zotu213</t>
  </si>
  <si>
    <t>Ascidae sp.</t>
  </si>
  <si>
    <t>Zotu215</t>
  </si>
  <si>
    <t>Papilionidae</t>
  </si>
  <si>
    <t>Cressida</t>
  </si>
  <si>
    <t>Cressida cressida</t>
  </si>
  <si>
    <t>Zotu217</t>
  </si>
  <si>
    <t>Anystidae sp.</t>
  </si>
  <si>
    <t>Anystidae sp. BOLD:ABW5637</t>
  </si>
  <si>
    <t>Zotu223</t>
  </si>
  <si>
    <t>Brevipalpus</t>
  </si>
  <si>
    <t>Brevipalpus californicus</t>
  </si>
  <si>
    <t>Zotu224</t>
  </si>
  <si>
    <t>Senaspis</t>
  </si>
  <si>
    <t>Senaspis dibapha</t>
  </si>
  <si>
    <t>Tephritidae</t>
  </si>
  <si>
    <t>Procecidochares</t>
  </si>
  <si>
    <t>Procecidochares utilis</t>
  </si>
  <si>
    <t>Zotu228</t>
  </si>
  <si>
    <t>Valenzuela</t>
  </si>
  <si>
    <t>Valenzuela piceus</t>
  </si>
  <si>
    <t>Caeciliusidae sp. BOLD:ABA6163</t>
  </si>
  <si>
    <t>Zotu229</t>
  </si>
  <si>
    <t>Zotu233</t>
  </si>
  <si>
    <t>Hexanauplia sp.</t>
  </si>
  <si>
    <t>Zotu238</t>
  </si>
  <si>
    <t>Glaphyria aff. sequistrialis PS1</t>
  </si>
  <si>
    <t>Glaphyria sesquistrialis</t>
  </si>
  <si>
    <t>Zotu240</t>
  </si>
  <si>
    <t>Porcellio</t>
  </si>
  <si>
    <t>Porcellio scaber</t>
  </si>
  <si>
    <t>Zotu241</t>
  </si>
  <si>
    <t>Chironominae environmental sample</t>
  </si>
  <si>
    <t>Zotu244</t>
  </si>
  <si>
    <t>Tapinoma</t>
  </si>
  <si>
    <t>Tapinoma melanocephalum</t>
  </si>
  <si>
    <t>Zotu249</t>
  </si>
  <si>
    <t>Bemisia</t>
  </si>
  <si>
    <t>Bemisia tabaci</t>
  </si>
  <si>
    <t>Zotu253</t>
  </si>
  <si>
    <t>Zotu262</t>
  </si>
  <si>
    <t>Tettigoniidae sp. sc_05052</t>
  </si>
  <si>
    <t>Tettigoniidae sp. sc_09070</t>
  </si>
  <si>
    <t>Zotu264</t>
  </si>
  <si>
    <t>Callopistria</t>
  </si>
  <si>
    <t>Callopistria floridensis</t>
  </si>
  <si>
    <t>Antiblemma</t>
  </si>
  <si>
    <t>Antiblemma sp. BioLep17</t>
  </si>
  <si>
    <t>Zotu266</t>
  </si>
  <si>
    <t>Geometra</t>
  </si>
  <si>
    <t>Geometra sponsaria</t>
  </si>
  <si>
    <t>Mompha</t>
  </si>
  <si>
    <t>Mompha trithalama</t>
  </si>
  <si>
    <t>Zotu267</t>
  </si>
  <si>
    <t>Bactrocera carambolae</t>
  </si>
  <si>
    <t>Bactrocera</t>
  </si>
  <si>
    <t>Bactrocera dorsalis</t>
  </si>
  <si>
    <t>Zotu268</t>
  </si>
  <si>
    <t>Medetera</t>
  </si>
  <si>
    <t>Medetera melancholica</t>
  </si>
  <si>
    <t>Dasypogon</t>
  </si>
  <si>
    <t>Dasypogon diadema</t>
  </si>
  <si>
    <t>Zotu271</t>
  </si>
  <si>
    <t>Elimaea berezovskii</t>
  </si>
  <si>
    <t>Elimaea</t>
  </si>
  <si>
    <t>Elimaea sp. SM-2011</t>
  </si>
  <si>
    <t>Zotu275</t>
  </si>
  <si>
    <t>Brasema sp. G0052</t>
  </si>
  <si>
    <t>Brasema</t>
  </si>
  <si>
    <t>Brasema bruchivora</t>
  </si>
  <si>
    <t>Zotu277</t>
  </si>
  <si>
    <t>Zotu291</t>
  </si>
  <si>
    <t>Aphis</t>
  </si>
  <si>
    <t>Aphis nerii</t>
  </si>
  <si>
    <t>Zotu294</t>
  </si>
  <si>
    <t>Cephalops brachium</t>
  </si>
  <si>
    <t>Pipunculidae</t>
  </si>
  <si>
    <t>Cephalops</t>
  </si>
  <si>
    <t>Cephalops ultimus</t>
  </si>
  <si>
    <t>Zotu297</t>
  </si>
  <si>
    <t>Haimbachia</t>
  </si>
  <si>
    <t>Haimbachia sp. BOLD:AAI1945</t>
  </si>
  <si>
    <t>Coenipeta</t>
  </si>
  <si>
    <t>Coenipeta damonia</t>
  </si>
  <si>
    <t>Zotu301</t>
  </si>
  <si>
    <t>Zotu304</t>
  </si>
  <si>
    <t>Pteroxanium</t>
  </si>
  <si>
    <t>Pteroxanium sp. BIOUG07014-E04</t>
  </si>
  <si>
    <t>Lepidopsocidae sp. BOLD:ACC1778</t>
  </si>
  <si>
    <t>Zotu305</t>
  </si>
  <si>
    <t>Styposis</t>
  </si>
  <si>
    <t>Styposis sp.</t>
  </si>
  <si>
    <t>Zotu310</t>
  </si>
  <si>
    <t>Zotu311</t>
  </si>
  <si>
    <t>Hydroptilidae sp. MPBZT009-09</t>
  </si>
  <si>
    <t>Zotu313</t>
  </si>
  <si>
    <t>Nesosydne</t>
  </si>
  <si>
    <t>Nesosydne bridwelli</t>
  </si>
  <si>
    <t>Zotu316</t>
  </si>
  <si>
    <t>Rhaphidophoridae</t>
  </si>
  <si>
    <t>Pharmacus</t>
  </si>
  <si>
    <t>Pharmacus senex</t>
  </si>
  <si>
    <t>Zotu317</t>
  </si>
  <si>
    <t>Brevipalpus papayensis</t>
  </si>
  <si>
    <t>Zotu320</t>
  </si>
  <si>
    <t>Cosmopterigidae sp. NIBGE MOT-03424</t>
  </si>
  <si>
    <t>Cosmopterigidae sp. NIBGE MOT-03423</t>
  </si>
  <si>
    <t>Zotu330</t>
  </si>
  <si>
    <t>Zotu331</t>
  </si>
  <si>
    <t>Pariaconus</t>
  </si>
  <si>
    <t>Pariaconus pele</t>
  </si>
  <si>
    <t>Zotu332</t>
  </si>
  <si>
    <t>Zotu334</t>
  </si>
  <si>
    <t>Zotu335</t>
  </si>
  <si>
    <t>Badumna sp. CG186</t>
  </si>
  <si>
    <t>Badumna</t>
  </si>
  <si>
    <t>Badumna longinqua</t>
  </si>
  <si>
    <t>Zotu348</t>
  </si>
  <si>
    <t>Diatraea</t>
  </si>
  <si>
    <t>Diatraea saccharalis</t>
  </si>
  <si>
    <t>Zotu352</t>
  </si>
  <si>
    <t>Zotu353</t>
  </si>
  <si>
    <t>Zotu354</t>
  </si>
  <si>
    <t>Zotu358</t>
  </si>
  <si>
    <t>Rugitermes</t>
  </si>
  <si>
    <t>Rugitermes flavicinctus</t>
  </si>
  <si>
    <t>Neotermes</t>
  </si>
  <si>
    <t>Neotermes sp. 3 AB-2022a</t>
  </si>
  <si>
    <t>Zotu365</t>
  </si>
  <si>
    <t>Scotocyma</t>
  </si>
  <si>
    <t>Scotocyma sp. INDOBIOSYS-CCDB30352-E01</t>
  </si>
  <si>
    <t>Gelechiidae</t>
  </si>
  <si>
    <t>Telphusa</t>
  </si>
  <si>
    <t>Telphusa longifasciella</t>
  </si>
  <si>
    <t>Zotu366</t>
  </si>
  <si>
    <t>Zotu367</t>
  </si>
  <si>
    <t>Rhinoleucophenga</t>
  </si>
  <si>
    <t>Rhinoleucophenga obesa</t>
  </si>
  <si>
    <t>Tomosvaryella</t>
  </si>
  <si>
    <t>Tomosvaryella sp. CNC Diptera 111701</t>
  </si>
  <si>
    <t>Zotu370</t>
  </si>
  <si>
    <t>Zotu376</t>
  </si>
  <si>
    <t>Zotu377</t>
  </si>
  <si>
    <t>Zotu382</t>
  </si>
  <si>
    <t>Zotu384</t>
  </si>
  <si>
    <t>Zaprionus</t>
  </si>
  <si>
    <t>Zaprionus indianus</t>
  </si>
  <si>
    <t>Zotu388</t>
  </si>
  <si>
    <t>Scelionidae</t>
  </si>
  <si>
    <t>Telenomus</t>
  </si>
  <si>
    <t>Telenomus sp. BIOUG22548-E10</t>
  </si>
  <si>
    <t>Platygastridae sp. BOLD:ACB6948</t>
  </si>
  <si>
    <t>Zotu394</t>
  </si>
  <si>
    <t>Elimaea fallax</t>
  </si>
  <si>
    <t>Zotu395</t>
  </si>
  <si>
    <t>Anaxipha</t>
  </si>
  <si>
    <t>Anaxipha calusa</t>
  </si>
  <si>
    <t>Zotu396</t>
  </si>
  <si>
    <t>Zotu406</t>
  </si>
  <si>
    <t>Sympycninae sp. BOLD-2016</t>
  </si>
  <si>
    <t>Zotu411</t>
  </si>
  <si>
    <t>Calliphoridae</t>
  </si>
  <si>
    <t>Calliphora</t>
  </si>
  <si>
    <t>Zotu412</t>
  </si>
  <si>
    <t>Cecidomyiidae</t>
  </si>
  <si>
    <t>Cecidomyiidae sp. BOLD:ACC3187</t>
  </si>
  <si>
    <t>Curculionidae sp. INDOBIOSYS-CCDB30377-F11</t>
  </si>
  <si>
    <t>Zotu413</t>
  </si>
  <si>
    <t>Zotu416</t>
  </si>
  <si>
    <t>Zotu417</t>
  </si>
  <si>
    <t>Vaejovis vorhiesi group sp. RWB-2013</t>
  </si>
  <si>
    <t>Vaejovidae</t>
  </si>
  <si>
    <t>Vaejovis</t>
  </si>
  <si>
    <t>Vaejovis paysonensis</t>
  </si>
  <si>
    <t>Zotu420</t>
  </si>
  <si>
    <t>Culex territans</t>
  </si>
  <si>
    <t>Culicidae</t>
  </si>
  <si>
    <t>Culex</t>
  </si>
  <si>
    <t>Culex impudicus</t>
  </si>
  <si>
    <t>Zotu424</t>
  </si>
  <si>
    <t>Zotu426</t>
  </si>
  <si>
    <t>Zotu427</t>
  </si>
  <si>
    <t>Zotu432</t>
  </si>
  <si>
    <t>Svistella</t>
  </si>
  <si>
    <t>Svistella fallax</t>
  </si>
  <si>
    <t>Zotu438</t>
  </si>
  <si>
    <t>Zotu447</t>
  </si>
  <si>
    <t>Zotu450</t>
  </si>
  <si>
    <t>Zotu454</t>
  </si>
  <si>
    <t>Zotu458</t>
  </si>
  <si>
    <t>Tetragnatha</t>
  </si>
  <si>
    <t>Tetragnatha viridis</t>
  </si>
  <si>
    <t>Zotu465</t>
  </si>
  <si>
    <t>Ceratopogonidae sp.</t>
  </si>
  <si>
    <t>Zotu468</t>
  </si>
  <si>
    <t>Cleora</t>
  </si>
  <si>
    <t>Cleora sublunaria</t>
  </si>
  <si>
    <t>Grammodes</t>
  </si>
  <si>
    <t>Grammodes bifasciata</t>
  </si>
  <si>
    <t>Zotu477</t>
  </si>
  <si>
    <t>Zotu478</t>
  </si>
  <si>
    <t>Derambila permensata</t>
  </si>
  <si>
    <t>Derambila</t>
  </si>
  <si>
    <t>Derambila liosceles</t>
  </si>
  <si>
    <t>Zotu480</t>
  </si>
  <si>
    <t>Zotu482</t>
  </si>
  <si>
    <t>Lepidoptera sp. BOLD:AAA2906</t>
  </si>
  <si>
    <t>Zotu483</t>
  </si>
  <si>
    <t>Zotu484</t>
  </si>
  <si>
    <t>Zotu485</t>
  </si>
  <si>
    <t>Zotu488</t>
  </si>
  <si>
    <t>Agapetus</t>
  </si>
  <si>
    <t>Agapetus fuscipes</t>
  </si>
  <si>
    <t>Zotu490</t>
  </si>
  <si>
    <t>Ablemma</t>
  </si>
  <si>
    <t>Ablemma shimojanai</t>
  </si>
  <si>
    <t>Zotu495</t>
  </si>
  <si>
    <t>Zotu500</t>
  </si>
  <si>
    <t>Zotu504</t>
  </si>
  <si>
    <t>Entomobrya albocincta</t>
  </si>
  <si>
    <t>Zotu508</t>
  </si>
  <si>
    <t>Erechthias</t>
  </si>
  <si>
    <t>Erechthias zebrina</t>
  </si>
  <si>
    <t>Zotu511</t>
  </si>
  <si>
    <t>Zotu517</t>
  </si>
  <si>
    <t>Brochymena</t>
  </si>
  <si>
    <t>Brochymena quadripustulata</t>
  </si>
  <si>
    <t>Zotu520</t>
  </si>
  <si>
    <t>Hyposmocoma auropurpurea</t>
  </si>
  <si>
    <t>Zotu524</t>
  </si>
  <si>
    <t>Tryphactothrips</t>
  </si>
  <si>
    <t>Tryphactothrips rutherfordi</t>
  </si>
  <si>
    <t>Copidothrips</t>
  </si>
  <si>
    <t>Copidothrips octarticulatus</t>
  </si>
  <si>
    <t>Zotu525</t>
  </si>
  <si>
    <t>Noctuidae gen. noctBioLep01 sp. BioLep72</t>
  </si>
  <si>
    <t>Zotu526</t>
  </si>
  <si>
    <t>Episinus</t>
  </si>
  <si>
    <t>Episinus algiricus</t>
  </si>
  <si>
    <t>Rhitymna</t>
  </si>
  <si>
    <t>Rhitymna pinangensis</t>
  </si>
  <si>
    <t>Zotu528</t>
  </si>
  <si>
    <t>Smittia</t>
  </si>
  <si>
    <t>Smittia sp. 25ES</t>
  </si>
  <si>
    <t>Chironomidae sp. BOLD:ACA4805</t>
  </si>
  <si>
    <t>Zotu529</t>
  </si>
  <si>
    <t>Zotu537</t>
  </si>
  <si>
    <t>Tetranychus sp. BIOUG01946-E05</t>
  </si>
  <si>
    <t>Tetranychus</t>
  </si>
  <si>
    <t>Tetranychus evansi</t>
  </si>
  <si>
    <t>Zotu538</t>
  </si>
  <si>
    <t>Paradoxosomatidae</t>
  </si>
  <si>
    <t>Oxidus</t>
  </si>
  <si>
    <t>Oxidus gracilis</t>
  </si>
  <si>
    <t>Zotu544</t>
  </si>
  <si>
    <t>Pentalonia</t>
  </si>
  <si>
    <t>Pentalonia nigronervosa</t>
  </si>
  <si>
    <t>Zotu547</t>
  </si>
  <si>
    <t>Triophtydeus sp. BIOUG28475-D09</t>
  </si>
  <si>
    <t>Zotu563</t>
  </si>
  <si>
    <t>Achaea</t>
  </si>
  <si>
    <t>Achaea catella</t>
  </si>
  <si>
    <t>Zotu564</t>
  </si>
  <si>
    <t>Zotu568</t>
  </si>
  <si>
    <t>Thagria</t>
  </si>
  <si>
    <t>Thagria digitata</t>
  </si>
  <si>
    <t>Zotu572</t>
  </si>
  <si>
    <t>Tarsonemidae sp. BIOUG25925-H08</t>
  </si>
  <si>
    <t>Acariformes sp.</t>
  </si>
  <si>
    <t>Zotu576</t>
  </si>
  <si>
    <t>Chrysomya</t>
  </si>
  <si>
    <t>Chrysomya rufifacies</t>
  </si>
  <si>
    <t>Zotu578</t>
  </si>
  <si>
    <t>Zotu580</t>
  </si>
  <si>
    <t>Zotu581</t>
  </si>
  <si>
    <t>Geminigeraceae</t>
  </si>
  <si>
    <t>Teleaulax</t>
  </si>
  <si>
    <t>Teleaulax amphioxeia</t>
  </si>
  <si>
    <t>Cottarellicaris</t>
  </si>
  <si>
    <t>Cottarellicaris sp. 1 LV-2020</t>
  </si>
  <si>
    <t>Zotu582</t>
  </si>
  <si>
    <t>Xysticus</t>
  </si>
  <si>
    <t>Xysticus ulmi</t>
  </si>
  <si>
    <t>Zotu588</t>
  </si>
  <si>
    <t>Lithodes</t>
  </si>
  <si>
    <t>Lithodes nintokuae</t>
  </si>
  <si>
    <t>Zotu594</t>
  </si>
  <si>
    <t>Zotu598</t>
  </si>
  <si>
    <t>Zotu601</t>
  </si>
  <si>
    <t>Sarcophagidae sp. BIOUG08959-B12</t>
  </si>
  <si>
    <t>Sarcophaga</t>
  </si>
  <si>
    <t>Sarcophaga peregrina</t>
  </si>
  <si>
    <t>Zotu602</t>
  </si>
  <si>
    <t>Zotu603</t>
  </si>
  <si>
    <t>Blastobasis sp.</t>
  </si>
  <si>
    <t>Blastobasis</t>
  </si>
  <si>
    <t>Blastobasis sp. KLM Lep 02547</t>
  </si>
  <si>
    <t>Zotu606</t>
  </si>
  <si>
    <t>Nabidae sp. DB-1719</t>
  </si>
  <si>
    <t>Nabis</t>
  </si>
  <si>
    <t>Nabis capsiformis</t>
  </si>
  <si>
    <t>Zotu610</t>
  </si>
  <si>
    <t>Hyposmocoma eepawai</t>
  </si>
  <si>
    <t>Nolidae</t>
  </si>
  <si>
    <t>Aiteta</t>
  </si>
  <si>
    <t>Aiteta damnipennis</t>
  </si>
  <si>
    <t>Zotu612</t>
  </si>
  <si>
    <t>Clastoptera arborina</t>
  </si>
  <si>
    <t>Clastoptera</t>
  </si>
  <si>
    <t>Clastoptera xanthocephala</t>
  </si>
  <si>
    <t>Zotu614</t>
  </si>
  <si>
    <t>Anaxipha litarena</t>
  </si>
  <si>
    <t>Zotu619</t>
  </si>
  <si>
    <t>Hymenoptera sp. BT-251</t>
  </si>
  <si>
    <t>Apis</t>
  </si>
  <si>
    <t>Apis mellifera</t>
  </si>
  <si>
    <t>Zotu621</t>
  </si>
  <si>
    <t>Zotu622</t>
  </si>
  <si>
    <t>Zotu625</t>
  </si>
  <si>
    <t>Lepidoptera sp. BOLD:AAA0427</t>
  </si>
  <si>
    <t>Sceliodes</t>
  </si>
  <si>
    <t>Sceliodes cordalis</t>
  </si>
  <si>
    <t>Zotu626</t>
  </si>
  <si>
    <t>Zotu629</t>
  </si>
  <si>
    <t>Sciaridae sp. sc_09206</t>
  </si>
  <si>
    <t>Sciaridae sp. sc_08982</t>
  </si>
  <si>
    <t>Zotu630</t>
  </si>
  <si>
    <t>Stenoonops</t>
  </si>
  <si>
    <t>Stenoonops sp.</t>
  </si>
  <si>
    <t>Zotu633</t>
  </si>
  <si>
    <t>Zotu634</t>
  </si>
  <si>
    <t>Zotu635</t>
  </si>
  <si>
    <t>Drosophila sechellia</t>
  </si>
  <si>
    <t>Drosophila simulans</t>
  </si>
  <si>
    <t>Zotu637</t>
  </si>
  <si>
    <t>Psychodidae sp. BOLD:ABV1314</t>
  </si>
  <si>
    <t>Psychodidae sp.</t>
  </si>
  <si>
    <t>Zotu641</t>
  </si>
  <si>
    <t>Dolichopodidae sp. BOLD:AAG9621</t>
  </si>
  <si>
    <t>Dolichopodidae sp. sc_07560</t>
  </si>
  <si>
    <t>Zotu642</t>
  </si>
  <si>
    <t>Aphis aurantii</t>
  </si>
  <si>
    <t>Zotu644</t>
  </si>
  <si>
    <t>Zotu646</t>
  </si>
  <si>
    <t>Sciaridae sp. SG-BCISP-7255</t>
  </si>
  <si>
    <t>Bradysia</t>
  </si>
  <si>
    <t>Bradysia radicum</t>
  </si>
  <si>
    <t>Zotu648</t>
  </si>
  <si>
    <t>Zotu651</t>
  </si>
  <si>
    <t>Zotu655</t>
  </si>
  <si>
    <t>Zotu658</t>
  </si>
  <si>
    <t>Dolichomastigaceae</t>
  </si>
  <si>
    <t>Dolichomastix</t>
  </si>
  <si>
    <t>Dolichomastix tenuilepis</t>
  </si>
  <si>
    <t>Zotu659</t>
  </si>
  <si>
    <t>Stenopsyche</t>
  </si>
  <si>
    <t>Stenopsyche khasia</t>
  </si>
  <si>
    <t>Zotu664</t>
  </si>
  <si>
    <t>Acalitus</t>
  </si>
  <si>
    <t>Acalitus vaccinii</t>
  </si>
  <si>
    <t>Zotu666</t>
  </si>
  <si>
    <t>Aphis craccivora</t>
  </si>
  <si>
    <t>Zotu668</t>
  </si>
  <si>
    <t>Zotu670</t>
  </si>
  <si>
    <t>Zotu674</t>
  </si>
  <si>
    <t>Centruroides noxius</t>
  </si>
  <si>
    <t>Centruroides</t>
  </si>
  <si>
    <t>Centruroides fulvipes</t>
  </si>
  <si>
    <t>Zotu677</t>
  </si>
  <si>
    <t>Eochrois</t>
  </si>
  <si>
    <t>Eochrois phoenopis</t>
  </si>
  <si>
    <t>Oecophorinae gen. Trachypepla1</t>
  </si>
  <si>
    <t>Oecophorinae sp. Trachypepla1 phaeolopha</t>
  </si>
  <si>
    <t>Zotu681</t>
  </si>
  <si>
    <t>Bactra xuthochyta</t>
  </si>
  <si>
    <t>Tortricidae</t>
  </si>
  <si>
    <t>Bactra</t>
  </si>
  <si>
    <t>Bactra verutana</t>
  </si>
  <si>
    <t>Zotu683</t>
  </si>
  <si>
    <t>Zotu684</t>
  </si>
  <si>
    <t>Proutista</t>
  </si>
  <si>
    <t>Proutista moesta</t>
  </si>
  <si>
    <t>Zotu686</t>
  </si>
  <si>
    <t>Blaberidae</t>
  </si>
  <si>
    <t>Pycnoscelus</t>
  </si>
  <si>
    <t>Pycnoscelus indicus</t>
  </si>
  <si>
    <t>Blattodea environmental sample</t>
  </si>
  <si>
    <t>Zotu688</t>
  </si>
  <si>
    <t>Zotu690</t>
  </si>
  <si>
    <t>Zotu695</t>
  </si>
  <si>
    <t>Hemerobiidae sp. BOLD:AAG0890</t>
  </si>
  <si>
    <t>Hemerobiidae sp. BOLD:ADU2276</t>
  </si>
  <si>
    <t>Zotu696</t>
  </si>
  <si>
    <t>Tetranychidae sp. BIOUG21075-G08</t>
  </si>
  <si>
    <t>Tetranychidae sp. BOLD:ACK3451</t>
  </si>
  <si>
    <t>Zotu702</t>
  </si>
  <si>
    <t>Dichromodes</t>
  </si>
  <si>
    <t>Dichromodes mesogonia</t>
  </si>
  <si>
    <t>Microcrambus</t>
  </si>
  <si>
    <t>Microcrambus sp. ANIC1</t>
  </si>
  <si>
    <t>Zotu706</t>
  </si>
  <si>
    <t>Paratyphlotanais</t>
  </si>
  <si>
    <t>Paratyphlotanais sp.</t>
  </si>
  <si>
    <t>Zotu707</t>
  </si>
  <si>
    <t>Zotu711</t>
  </si>
  <si>
    <t>Technomyrmex innocens</t>
  </si>
  <si>
    <t>Zotu712</t>
  </si>
  <si>
    <t>Arcitalitrus</t>
  </si>
  <si>
    <t>Arcitalitrus sp. 6 HL-2023a</t>
  </si>
  <si>
    <t>Zotu713</t>
  </si>
  <si>
    <t>Chionodes</t>
  </si>
  <si>
    <t>Chionodes thoraceochrella</t>
  </si>
  <si>
    <t>Zotu717</t>
  </si>
  <si>
    <t>Pleuromamma</t>
  </si>
  <si>
    <t>Pleuromamma gracilis</t>
  </si>
  <si>
    <t>Zotu724</t>
  </si>
  <si>
    <t>Zotu726</t>
  </si>
  <si>
    <t>Zotu727</t>
  </si>
  <si>
    <t>Zotu728</t>
  </si>
  <si>
    <t>Chloropidae sp. sc_06978</t>
  </si>
  <si>
    <t>Chloropidae</t>
  </si>
  <si>
    <t>Chloropidae sp. sc_05451</t>
  </si>
  <si>
    <t>Zotu736</t>
  </si>
  <si>
    <t>Gammarus</t>
  </si>
  <si>
    <t>Gammarus nekkensis</t>
  </si>
  <si>
    <t>Zotu739</t>
  </si>
  <si>
    <t>Eupelmus</t>
  </si>
  <si>
    <t>Eupelmus pini</t>
  </si>
  <si>
    <t>Zotu744</t>
  </si>
  <si>
    <t>Zotu746</t>
  </si>
  <si>
    <t>Hymenoptera sp.</t>
  </si>
  <si>
    <t>Ormosia</t>
  </si>
  <si>
    <t>Ormosia sp. 1 LSR-2018</t>
  </si>
  <si>
    <t>Zotu754</t>
  </si>
  <si>
    <t>Muscidae</t>
  </si>
  <si>
    <t>Limnospila</t>
  </si>
  <si>
    <t>Limnospila albifrons</t>
  </si>
  <si>
    <t>Zotu760</t>
  </si>
  <si>
    <t>Tachysphex pompiliformis</t>
  </si>
  <si>
    <t>Tachysphex</t>
  </si>
  <si>
    <t>Tachysphex bohemicus</t>
  </si>
  <si>
    <t>Zotu761</t>
  </si>
  <si>
    <t>Zotu765</t>
  </si>
  <si>
    <t>Zotu768</t>
  </si>
  <si>
    <t>Entomobryidae sp. BIOUG19505-C04</t>
  </si>
  <si>
    <t>Entomobryidae sp. BIOUG19501-F09</t>
  </si>
  <si>
    <t>Zotu770</t>
  </si>
  <si>
    <t>Patania</t>
  </si>
  <si>
    <t>Patania nr. sabinusalis BOLD:AAD8194</t>
  </si>
  <si>
    <t>Zotu775</t>
  </si>
  <si>
    <t>Coquillettia</t>
  </si>
  <si>
    <t>Coquillettia sp. WCW-2003</t>
  </si>
  <si>
    <t>Zotu780</t>
  </si>
  <si>
    <t>Zotu781</t>
  </si>
  <si>
    <t>Ghauriana</t>
  </si>
  <si>
    <t>Ghauriana sinensis</t>
  </si>
  <si>
    <t>Zotu782</t>
  </si>
  <si>
    <t>Pholcidae</t>
  </si>
  <si>
    <t>Nerudia</t>
  </si>
  <si>
    <t>Nerudia sp. N021 Arg161</t>
  </si>
  <si>
    <t>Zotu795</t>
  </si>
  <si>
    <t>Drosophila kepulauana</t>
  </si>
  <si>
    <t>Drosophila albomicans</t>
  </si>
  <si>
    <t>Zotu797</t>
  </si>
  <si>
    <t>Zotu800</t>
  </si>
  <si>
    <t>Zotu806</t>
  </si>
  <si>
    <t>Xysticus montanensis</t>
  </si>
  <si>
    <t>Zotu807</t>
  </si>
  <si>
    <t>Camerobiidae sp. BIOUG20334-A11</t>
  </si>
  <si>
    <t>Camerobiidae sp. BIOUG20299-D11</t>
  </si>
  <si>
    <t>Zotu809</t>
  </si>
  <si>
    <t>Zotu810</t>
  </si>
  <si>
    <t>Zotu815</t>
  </si>
  <si>
    <t>Stenomorpha</t>
  </si>
  <si>
    <t>Stenomorpha opaca</t>
  </si>
  <si>
    <t>Zotu818</t>
  </si>
  <si>
    <t>Zotu824</t>
  </si>
  <si>
    <t>Zotu827</t>
  </si>
  <si>
    <t>Castniidae</t>
  </si>
  <si>
    <t>Synemon</t>
  </si>
  <si>
    <t>Synemon plana</t>
  </si>
  <si>
    <t>Achoria</t>
  </si>
  <si>
    <t>Achoria inopina</t>
  </si>
  <si>
    <t>Zotu829</t>
  </si>
  <si>
    <t>Zotu832</t>
  </si>
  <si>
    <t>Zotu839</t>
  </si>
  <si>
    <t>Zotu840</t>
  </si>
  <si>
    <t>Psechridae</t>
  </si>
  <si>
    <t>Psechrus</t>
  </si>
  <si>
    <t>Psechrus clavis</t>
  </si>
  <si>
    <t>Spintharus</t>
  </si>
  <si>
    <t>Spintharus sp. LA 00001712A</t>
  </si>
  <si>
    <t>Zotu842</t>
  </si>
  <si>
    <t>Medetera fumida</t>
  </si>
  <si>
    <t>Zotu843</t>
  </si>
  <si>
    <t>Zotu847</t>
  </si>
  <si>
    <t>Zotu848</t>
  </si>
  <si>
    <t>Zotu855</t>
  </si>
  <si>
    <t>Glyphiulus</t>
  </si>
  <si>
    <t>Glyphiulus granulatus</t>
  </si>
  <si>
    <t>Zotu856</t>
  </si>
  <si>
    <t>Melyridae sp. BIOUG17838-E02</t>
  </si>
  <si>
    <t>Melyridae sp. BIOUG05385-F01</t>
  </si>
  <si>
    <t>Zotu858</t>
  </si>
  <si>
    <t>Zotu863</t>
  </si>
  <si>
    <t>Cnephasia</t>
  </si>
  <si>
    <t>Cnephasia pasiuana</t>
  </si>
  <si>
    <t>Dichromodes atrosignata</t>
  </si>
  <si>
    <t>Zotu869</t>
  </si>
  <si>
    <t>Ochetellus</t>
  </si>
  <si>
    <t>Ochetellus glaber</t>
  </si>
  <si>
    <t>Zotu875</t>
  </si>
  <si>
    <t>Daphnia</t>
  </si>
  <si>
    <t>Daphnia ishidai</t>
  </si>
  <si>
    <t>Nannastacidae</t>
  </si>
  <si>
    <t>Campylaspis</t>
  </si>
  <si>
    <t>Campylaspis sulcata</t>
  </si>
  <si>
    <t>Zotu876</t>
  </si>
  <si>
    <t>Stenonema</t>
  </si>
  <si>
    <t>Stenonema femoratum</t>
  </si>
  <si>
    <t>Herrmannella</t>
  </si>
  <si>
    <t>Herrmannella hoonsooi</t>
  </si>
  <si>
    <t>Zotu880</t>
  </si>
  <si>
    <t>Sarcophaga formosensis</t>
  </si>
  <si>
    <t>Zotu882</t>
  </si>
  <si>
    <t>Zotu884</t>
  </si>
  <si>
    <t>Trombidiformes sp. BOLD:ACV5754</t>
  </si>
  <si>
    <t>Zotu893</t>
  </si>
  <si>
    <t>Lygaeidae</t>
  </si>
  <si>
    <t>Nysius</t>
  </si>
  <si>
    <t>Nysius niger</t>
  </si>
  <si>
    <t>Mukaria</t>
  </si>
  <si>
    <t>Mukaria albinotata</t>
  </si>
  <si>
    <t>Zotu894</t>
  </si>
  <si>
    <t>Mantidae gen. mantisJanzen01</t>
  </si>
  <si>
    <t>Mantidae gen. mantisJanzen01 sp. Janzen01</t>
  </si>
  <si>
    <t>Zotu898</t>
  </si>
  <si>
    <t>Graphosia</t>
  </si>
  <si>
    <t>Graphosia stenopepla</t>
  </si>
  <si>
    <t>Hemibela</t>
  </si>
  <si>
    <t>Hemibela sp. ANIC21</t>
  </si>
  <si>
    <t>Zotu900</t>
  </si>
  <si>
    <t>Zotu901</t>
  </si>
  <si>
    <t>Zotu902</t>
  </si>
  <si>
    <t>Zotu904</t>
  </si>
  <si>
    <t>Zotu908</t>
  </si>
  <si>
    <t>Zotu909</t>
  </si>
  <si>
    <t>Zotu918</t>
  </si>
  <si>
    <t>Limoniidae sp. sc_02065</t>
  </si>
  <si>
    <t>Limoniidae sp. sc_00082</t>
  </si>
  <si>
    <t>Zotu920</t>
  </si>
  <si>
    <t>Zotu922</t>
  </si>
  <si>
    <t>Zotu925</t>
  </si>
  <si>
    <t>Zotu927</t>
  </si>
  <si>
    <t>Zotu928</t>
  </si>
  <si>
    <t>Noctuidae sp. BOLD:AAM8800</t>
  </si>
  <si>
    <t>Zotu931</t>
  </si>
  <si>
    <t>Zotu932</t>
  </si>
  <si>
    <t>Gnaptor</t>
  </si>
  <si>
    <t>Gnaptor boryi</t>
  </si>
  <si>
    <t>Zotu933</t>
  </si>
  <si>
    <t>Sciaridae sp.</t>
  </si>
  <si>
    <t>Hyperlasion</t>
  </si>
  <si>
    <t>Hyperlasion sp. DNAS-414-5XJQ</t>
  </si>
  <si>
    <t>Zotu940</t>
  </si>
  <si>
    <t>Melyridae sp. BIOUG02377-F01</t>
  </si>
  <si>
    <t>Zotu941</t>
  </si>
  <si>
    <t>Zotu942</t>
  </si>
  <si>
    <t>Cecidomyiidae sp. HM4</t>
  </si>
  <si>
    <t>Cecidomyiidae sp. BOLD:ACK8200</t>
  </si>
  <si>
    <t>Zotu945</t>
  </si>
  <si>
    <t>Scolopendra</t>
  </si>
  <si>
    <t>Scolopendra calcarata</t>
  </si>
  <si>
    <t>Zotu948</t>
  </si>
  <si>
    <t>Hyposmocoma sp. 126 WPH-2017</t>
  </si>
  <si>
    <t>Hyposmocoma sp. 123 WPH-2014</t>
  </si>
  <si>
    <t>Zotu949</t>
  </si>
  <si>
    <t>Zotu951</t>
  </si>
  <si>
    <t>Rubrocuneocoris</t>
  </si>
  <si>
    <t>Rubrocuneocoris calvertae</t>
  </si>
  <si>
    <t>Zotu955</t>
  </si>
  <si>
    <t>Haptosquilla</t>
  </si>
  <si>
    <t>Haptosquilla sp. g1 SP-2020</t>
  </si>
  <si>
    <t>Zotu957</t>
  </si>
  <si>
    <t>Zotu977</t>
  </si>
  <si>
    <t>Zotu985</t>
  </si>
  <si>
    <t>Sphaeroceridae</t>
  </si>
  <si>
    <t>Spelobia</t>
  </si>
  <si>
    <t>Zotu987</t>
  </si>
  <si>
    <t>Zotu991</t>
  </si>
  <si>
    <t>Cecidomyiidae sp. BOLD:ACM4097</t>
  </si>
  <si>
    <t>Cecidomyiidae sp.</t>
  </si>
  <si>
    <t>Zotu992</t>
  </si>
  <si>
    <t>Zotu998</t>
  </si>
  <si>
    <t>Zotu1000</t>
  </si>
  <si>
    <t>Anoplolepis</t>
  </si>
  <si>
    <t>Anoplolepis gracilipes</t>
  </si>
  <si>
    <t>Zotu1001</t>
  </si>
  <si>
    <t>Zotu1003</t>
  </si>
  <si>
    <t>Talitridae sp. sc_02143</t>
  </si>
  <si>
    <t>Zotu1008</t>
  </si>
  <si>
    <t>Agriades</t>
  </si>
  <si>
    <t>Agriades orbitulus</t>
  </si>
  <si>
    <t>Zotu1011</t>
  </si>
  <si>
    <t>Pycnoscelus surinamensis</t>
  </si>
  <si>
    <t>Zotu1012</t>
  </si>
  <si>
    <t>Lepidopsocidae sp. sc_06783</t>
  </si>
  <si>
    <t>Zotu1016</t>
  </si>
  <si>
    <t>Alaptus</t>
  </si>
  <si>
    <t>Alaptus sp. BIOUG20999-A04</t>
  </si>
  <si>
    <t>Gonatocerus</t>
  </si>
  <si>
    <t>Gonatocerus sp. BIOUG02537-F06</t>
  </si>
  <si>
    <t>Zotu1017</t>
  </si>
  <si>
    <t>Zotu1019</t>
  </si>
  <si>
    <t>Phalaenostola</t>
  </si>
  <si>
    <t>Phalaenostola metonalis</t>
  </si>
  <si>
    <t>Nematocampa</t>
  </si>
  <si>
    <t>Nematocampa completa</t>
  </si>
  <si>
    <t>Zotu1022</t>
  </si>
  <si>
    <t>Diapriidae sp. BIOUG23536-H02</t>
  </si>
  <si>
    <t>Zotu1023</t>
  </si>
  <si>
    <t>Phyllonorycter</t>
  </si>
  <si>
    <t>Phyllonorycter issikii</t>
  </si>
  <si>
    <t>Zotu1027</t>
  </si>
  <si>
    <t>Zotu1028</t>
  </si>
  <si>
    <t>Zotu1029</t>
  </si>
  <si>
    <t>Zotu1031</t>
  </si>
  <si>
    <t>Zotu1034</t>
  </si>
  <si>
    <t>Zotu1036</t>
  </si>
  <si>
    <t>Zotu1045</t>
  </si>
  <si>
    <t>Tomocerus sp. BOLD:ACL9454</t>
  </si>
  <si>
    <t>Zotu1047</t>
  </si>
  <si>
    <t>Hemiptera sp. CNKOG015-14</t>
  </si>
  <si>
    <t>Zotu1048</t>
  </si>
  <si>
    <t>Cleora displicata</t>
  </si>
  <si>
    <t>Menophra</t>
  </si>
  <si>
    <t>Menophra sp. PK03</t>
  </si>
  <si>
    <t>Zotu1050</t>
  </si>
  <si>
    <t>Sarcophaga karnyi</t>
  </si>
  <si>
    <t>Zotu1051</t>
  </si>
  <si>
    <t>Aphytis sp. 2 BSM-2012</t>
  </si>
  <si>
    <t>Aphytis</t>
  </si>
  <si>
    <t>Aphytis chrysomphali</t>
  </si>
  <si>
    <t>Zotu1052</t>
  </si>
  <si>
    <t>Zotu1054</t>
  </si>
  <si>
    <t>Zotu1062</t>
  </si>
  <si>
    <t>Anisolabella</t>
  </si>
  <si>
    <t>Anisolabella ryukyuensis</t>
  </si>
  <si>
    <t>Euborellia</t>
  </si>
  <si>
    <t>Euborellia arcanum</t>
  </si>
  <si>
    <t>Zotu1066</t>
  </si>
  <si>
    <t>Drosophila rubida</t>
  </si>
  <si>
    <t>Drosophila hypocausta</t>
  </si>
  <si>
    <t>Zotu1069</t>
  </si>
  <si>
    <t>Cyclophoridae</t>
  </si>
  <si>
    <t>Rhiostoma</t>
  </si>
  <si>
    <t>Rhiostoma sp. R2-4</t>
  </si>
  <si>
    <t>Staphylinidae sp.</t>
  </si>
  <si>
    <t>Zotu1072</t>
  </si>
  <si>
    <t>Zotu1073</t>
  </si>
  <si>
    <t>Zotu1074</t>
  </si>
  <si>
    <t>Zotu1081</t>
  </si>
  <si>
    <t>Zotu1083</t>
  </si>
  <si>
    <t>Philodromus aureolus</t>
  </si>
  <si>
    <t>Philodromus</t>
  </si>
  <si>
    <t>Philodromus fuscolimbatus</t>
  </si>
  <si>
    <t>Zotu1086</t>
  </si>
  <si>
    <t>Entomobryidae sp. BIOUG12945-C05</t>
  </si>
  <si>
    <t>Gammarus cf. parechiniformis</t>
  </si>
  <si>
    <t>Zotu1087</t>
  </si>
  <si>
    <t>Zotu1089</t>
  </si>
  <si>
    <t>Zotu1090</t>
  </si>
  <si>
    <t>Zotu1113</t>
  </si>
  <si>
    <t>Zotu1125</t>
  </si>
  <si>
    <t>Zotu1126</t>
  </si>
  <si>
    <t>Zotu1128</t>
  </si>
  <si>
    <t>Zotu1134</t>
  </si>
  <si>
    <t>Scaptomyza cyrtandrae</t>
  </si>
  <si>
    <t>Scaptomyza</t>
  </si>
  <si>
    <t>Scaptomyza scoloplichas</t>
  </si>
  <si>
    <t>Zotu1142</t>
  </si>
  <si>
    <t>Oxyopes sp. ZSI/SRC I-168</t>
  </si>
  <si>
    <t>Oxyopes</t>
  </si>
  <si>
    <t>Oxyopes hindostanicus</t>
  </si>
  <si>
    <t>Zotu1143</t>
  </si>
  <si>
    <t>Canthocamptidae</t>
  </si>
  <si>
    <t>Epactophanes</t>
  </si>
  <si>
    <t>Epactophanes richardi</t>
  </si>
  <si>
    <t>Chironomidae sp. LA_LSLZ7_108</t>
  </si>
  <si>
    <t>Zotu1144</t>
  </si>
  <si>
    <t>Zotu1146</t>
  </si>
  <si>
    <t>Forelius sp. BOLD:AAO3703</t>
  </si>
  <si>
    <t>Forelius</t>
  </si>
  <si>
    <t>Forelius sp. BKH-009</t>
  </si>
  <si>
    <t>Zotu1147</t>
  </si>
  <si>
    <t>Scolopendra subspinipes</t>
  </si>
  <si>
    <t>Zotu1149</t>
  </si>
  <si>
    <t>Rhyparochromidae sp. CC15C-15</t>
  </si>
  <si>
    <t>Zeridoneus</t>
  </si>
  <si>
    <t>Zeridoneus costalis</t>
  </si>
  <si>
    <t>Zotu1150</t>
  </si>
  <si>
    <t>Zotu1152</t>
  </si>
  <si>
    <t>Heliothrips</t>
  </si>
  <si>
    <t>Heliothrips haemorrhoidalis</t>
  </si>
  <si>
    <t>Zotu1155</t>
  </si>
  <si>
    <t>Cecidomyiidae sp. BOLD:ACG6138</t>
  </si>
  <si>
    <t>Zotu1164</t>
  </si>
  <si>
    <t>Stigmaeidae sp. BOLD:ACL9060</t>
  </si>
  <si>
    <t>Stigmaeidae sp. BOLD:AAU6270</t>
  </si>
  <si>
    <t>Zotu1167</t>
  </si>
  <si>
    <t>Zotu1176</t>
  </si>
  <si>
    <t>Dolerus zhelochovtsevi</t>
  </si>
  <si>
    <t>Dolerus</t>
  </si>
  <si>
    <t>Dolerus stygius</t>
  </si>
  <si>
    <t>Zotu1180</t>
  </si>
  <si>
    <t>Zotu1191</t>
  </si>
  <si>
    <t>Zotu1193</t>
  </si>
  <si>
    <t>Zotu1194</t>
  </si>
  <si>
    <t>Zotu1198</t>
  </si>
  <si>
    <t>Platygastridae sp. BOLD:ABV2735</t>
  </si>
  <si>
    <t>Platygastridae sp. BOLD-2016</t>
  </si>
  <si>
    <t>Zotu1201</t>
  </si>
  <si>
    <t>Agrypninae sp. BOLD:AAH2439</t>
  </si>
  <si>
    <t>Zotu1208</t>
  </si>
  <si>
    <t>Zotu1209</t>
  </si>
  <si>
    <t>Ameletidae</t>
  </si>
  <si>
    <t>Ameletus</t>
  </si>
  <si>
    <t>Ameletus sp. OPU BS 2021-176-IC-EP</t>
  </si>
  <si>
    <t>Bembidion</t>
  </si>
  <si>
    <t>Bembidion bipunctatum</t>
  </si>
  <si>
    <t>Zotu1214</t>
  </si>
  <si>
    <t>Cunaxidae sp. BOLD:ACI2975</t>
  </si>
  <si>
    <t>Zotu1215</t>
  </si>
  <si>
    <t>Zotu1216</t>
  </si>
  <si>
    <t>Conomelus</t>
  </si>
  <si>
    <t>Conomelus anceps</t>
  </si>
  <si>
    <t>Zotu1218</t>
  </si>
  <si>
    <t>Zotu1222</t>
  </si>
  <si>
    <t>Pocilloporidae</t>
  </si>
  <si>
    <t>Pocillopora</t>
  </si>
  <si>
    <t>Pocillopora sp. 27-LDS3-4</t>
  </si>
  <si>
    <t>Stenus</t>
  </si>
  <si>
    <t>Stenus fuscicornis</t>
  </si>
  <si>
    <t>Zotu1229</t>
  </si>
  <si>
    <t>Zotu1232</t>
  </si>
  <si>
    <t>Calocalanus</t>
  </si>
  <si>
    <t>Calocalanus contractus</t>
  </si>
  <si>
    <t>Zotu1233</t>
  </si>
  <si>
    <t>Zotu1234</t>
  </si>
  <si>
    <t>Zotu1242</t>
  </si>
  <si>
    <t>Aphis gossypii</t>
  </si>
  <si>
    <t>Zotu1243</t>
  </si>
  <si>
    <t>Athetis</t>
  </si>
  <si>
    <t>Athetis thoracica</t>
  </si>
  <si>
    <t>Zotu1251</t>
  </si>
  <si>
    <t>Zotu1255</t>
  </si>
  <si>
    <t>Zotu1256</t>
  </si>
  <si>
    <t>Zotu1257</t>
  </si>
  <si>
    <t>Zotu1263</t>
  </si>
  <si>
    <t>Arugisa</t>
  </si>
  <si>
    <t>Arugisa latiorella</t>
  </si>
  <si>
    <t>Scolecocampa</t>
  </si>
  <si>
    <t>Scolecocampa liburna</t>
  </si>
  <si>
    <t>Zotu1265</t>
  </si>
  <si>
    <t>Acanthodiaptomus</t>
  </si>
  <si>
    <t>Acanthodiaptomus pacificus</t>
  </si>
  <si>
    <t>Zotu1268</t>
  </si>
  <si>
    <t>Zotu1270</t>
  </si>
  <si>
    <t>Zotu1271</t>
  </si>
  <si>
    <t>Zotu1272</t>
  </si>
  <si>
    <t>Noctuidae sp. BOLD:AAU5899</t>
  </si>
  <si>
    <t>Ensipia</t>
  </si>
  <si>
    <t>Ensipia sp. BioLep02</t>
  </si>
  <si>
    <t>Zotu1274</t>
  </si>
  <si>
    <t>Lepidoptera sp. BOLD:AAD2059</t>
  </si>
  <si>
    <t>Zotu1275</t>
  </si>
  <si>
    <t>Zotu1277</t>
  </si>
  <si>
    <t>Tydeidae sp. BOLD:ADE4160</t>
  </si>
  <si>
    <t>Tydeidae sp. BIOUG24577-E07</t>
  </si>
  <si>
    <t>Zotu1281</t>
  </si>
  <si>
    <t>Apatelodidae</t>
  </si>
  <si>
    <t>Olceclostera</t>
  </si>
  <si>
    <t>Olceclostera sp. 1 EO-2023a</t>
  </si>
  <si>
    <t>Zotu1282</t>
  </si>
  <si>
    <t>Zotu1283</t>
  </si>
  <si>
    <t>Colletes simulans</t>
  </si>
  <si>
    <t>Colletes</t>
  </si>
  <si>
    <t>Colletes fulgidus</t>
  </si>
  <si>
    <t>Zotu1284</t>
  </si>
  <si>
    <t>Zotu1288</t>
  </si>
  <si>
    <t>Spermatodes</t>
  </si>
  <si>
    <t>Spermatodes variolosus</t>
  </si>
  <si>
    <t>Zotu1291</t>
  </si>
  <si>
    <t>Anaxipha fultoni</t>
  </si>
  <si>
    <t>Zotu1293</t>
  </si>
  <si>
    <t>Heterometrus</t>
  </si>
  <si>
    <t>Heterometrus thorellii</t>
  </si>
  <si>
    <t>Zotu1295</t>
  </si>
  <si>
    <t>Chrysididae</t>
  </si>
  <si>
    <t>Trichrysis</t>
  </si>
  <si>
    <t>Trichrysis kylan</t>
  </si>
  <si>
    <t>Zotu1299</t>
  </si>
  <si>
    <t>Anaxiphomorpha serratiprotuberus</t>
  </si>
  <si>
    <t>Zotu1303</t>
  </si>
  <si>
    <t>Braconidae</t>
  </si>
  <si>
    <t>Cheloninae sp. BIOUG02447-F09</t>
  </si>
  <si>
    <t>Zotu1306</t>
  </si>
  <si>
    <t>Zotu1308</t>
  </si>
  <si>
    <t>Zotu1310</t>
  </si>
  <si>
    <t>Patania sp. Solis03</t>
  </si>
  <si>
    <t>Zotu1315</t>
  </si>
  <si>
    <t>Zotu1316</t>
  </si>
  <si>
    <t>Chaetaglaea</t>
  </si>
  <si>
    <t>Chaetaglaea cerata</t>
  </si>
  <si>
    <t>Rhagastis</t>
  </si>
  <si>
    <t>Rhagastis albomarginatus</t>
  </si>
  <si>
    <t>Zotu1319</t>
  </si>
  <si>
    <t>Scaptomyza amplilobus</t>
  </si>
  <si>
    <t>Zotu1322</t>
  </si>
  <si>
    <t>Saprolegniaceae</t>
  </si>
  <si>
    <t>Saprolegnia</t>
  </si>
  <si>
    <t>Saprolegnia sp. 14</t>
  </si>
  <si>
    <t>Centropagidae</t>
  </si>
  <si>
    <t>Sinocalanus</t>
  </si>
  <si>
    <t>Sinocalanus tenellus</t>
  </si>
  <si>
    <t>Zotu1329</t>
  </si>
  <si>
    <t>Zotu1333</t>
  </si>
  <si>
    <t>Zotu1339</t>
  </si>
  <si>
    <t>Diptera sp. hongheHap_150</t>
  </si>
  <si>
    <t>Zotu1341</t>
  </si>
  <si>
    <t>Zotu1342</t>
  </si>
  <si>
    <t>Drosophila soonae</t>
  </si>
  <si>
    <t>Chloropidae sp. sc_10708</t>
  </si>
  <si>
    <t>Zotu1343</t>
  </si>
  <si>
    <t>Dolerus blanki</t>
  </si>
  <si>
    <t>Dolerus asper</t>
  </si>
  <si>
    <t>Zotu1344</t>
  </si>
  <si>
    <t>Zotu1346</t>
  </si>
  <si>
    <t>Zotu1350</t>
  </si>
  <si>
    <t>Zotu1354</t>
  </si>
  <si>
    <t>Zotu1362</t>
  </si>
  <si>
    <t>Lysianassidae</t>
  </si>
  <si>
    <t>Orchomenella</t>
  </si>
  <si>
    <t>Orchomenella obtusa</t>
  </si>
  <si>
    <t>Aetana</t>
  </si>
  <si>
    <t>Aetana lambir</t>
  </si>
  <si>
    <t>Zotu1365</t>
  </si>
  <si>
    <t>Zotu1375</t>
  </si>
  <si>
    <t>Zotu1378</t>
  </si>
  <si>
    <t>Zotu1380</t>
  </si>
  <si>
    <t>Eupodidae sp. BOLD:ADE1610</t>
  </si>
  <si>
    <t>Zotu1383</t>
  </si>
  <si>
    <t>Telenomus sp. BIOUG21352-C07</t>
  </si>
  <si>
    <t>Chthoniidae sp. Biologic-PSEU083</t>
  </si>
  <si>
    <t>Zotu1384</t>
  </si>
  <si>
    <t>Agromyzidae</t>
  </si>
  <si>
    <t>Metopomyza</t>
  </si>
  <si>
    <t>Metopomyza scutellata</t>
  </si>
  <si>
    <t>Zotu1387</t>
  </si>
  <si>
    <t>Zotu1395</t>
  </si>
  <si>
    <t>Hyalospheniidae</t>
  </si>
  <si>
    <t>Planocarina</t>
  </si>
  <si>
    <t>Planocarina carinata</t>
  </si>
  <si>
    <t>Linyphiidae</t>
  </si>
  <si>
    <t>Scotinotylus</t>
  </si>
  <si>
    <t>Scotinotylus patellatus</t>
  </si>
  <si>
    <t>Zotu1400</t>
  </si>
  <si>
    <t>Stelidota</t>
  </si>
  <si>
    <t>Stelidota geminata</t>
  </si>
  <si>
    <t>Zotu1402</t>
  </si>
  <si>
    <t>Zotu1409</t>
  </si>
  <si>
    <t>Orthops</t>
  </si>
  <si>
    <t>Orthops palus</t>
  </si>
  <si>
    <t>Zotu1411</t>
  </si>
  <si>
    <t>Sparganothis</t>
  </si>
  <si>
    <t>Sparganothis reticulatana</t>
  </si>
  <si>
    <t>Agrius</t>
  </si>
  <si>
    <t>Agrius convolvuli</t>
  </si>
  <si>
    <t>Zotu1412</t>
  </si>
  <si>
    <t>Zotu1413</t>
  </si>
  <si>
    <t>Thrips hawaiiensis</t>
  </si>
  <si>
    <t>Thrips australis</t>
  </si>
  <si>
    <t>Zotu1416</t>
  </si>
  <si>
    <t>Pezothrips</t>
  </si>
  <si>
    <t>Pezothrips kellyanus</t>
  </si>
  <si>
    <t>Zotu1422</t>
  </si>
  <si>
    <t>Elateroides</t>
  </si>
  <si>
    <t>Elateroides dermestoides</t>
  </si>
  <si>
    <t>Zotu1423</t>
  </si>
  <si>
    <t>Zotu1424</t>
  </si>
  <si>
    <t>Zotu1427</t>
  </si>
  <si>
    <t>Azelia</t>
  </si>
  <si>
    <t>Azelia nebulosa</t>
  </si>
  <si>
    <t>Zotu1430</t>
  </si>
  <si>
    <t>Pogonognathellus</t>
  </si>
  <si>
    <t>Pogonognathellus longicornis</t>
  </si>
  <si>
    <t>Zotu1433</t>
  </si>
  <si>
    <t>Dryinidae sp. BOLD-2016</t>
  </si>
  <si>
    <t>Zotu1438</t>
  </si>
  <si>
    <t>Chrysomelidae</t>
  </si>
  <si>
    <t>Aphthona</t>
  </si>
  <si>
    <t>Aphthona cyparissiae</t>
  </si>
  <si>
    <t>Melandryidae</t>
  </si>
  <si>
    <t>Melandryidae sp. BOLD-2016</t>
  </si>
  <si>
    <t>Zotu1443</t>
  </si>
  <si>
    <t>Zotu1445</t>
  </si>
  <si>
    <t>Leptonetidae</t>
  </si>
  <si>
    <t>Leptonetela</t>
  </si>
  <si>
    <t>Leptonetela shuang</t>
  </si>
  <si>
    <t>Zotu1446</t>
  </si>
  <si>
    <t>Lepidoptera sp. BOLD:AAC0739</t>
  </si>
  <si>
    <t>Zotu1451</t>
  </si>
  <si>
    <t>Dolerus apricus</t>
  </si>
  <si>
    <t>Zotu1452</t>
  </si>
  <si>
    <t>Gelechia</t>
  </si>
  <si>
    <t>Gelechia mediterranea</t>
  </si>
  <si>
    <t>Hednota</t>
  </si>
  <si>
    <t>Hednota dichospila</t>
  </si>
  <si>
    <t>Zotu1454</t>
  </si>
  <si>
    <t>Zotu1463</t>
  </si>
  <si>
    <t>Zotu1468</t>
  </si>
  <si>
    <t>Delphacidae sp.</t>
  </si>
  <si>
    <t>Zotu1472</t>
  </si>
  <si>
    <t>Cardiodactylus</t>
  </si>
  <si>
    <t>Cardiodactylus lucus</t>
  </si>
  <si>
    <t>Zotu1473</t>
  </si>
  <si>
    <t>Eupithecia</t>
  </si>
  <si>
    <t>Eupithecia simpliciata</t>
  </si>
  <si>
    <t>Zotu1475</t>
  </si>
  <si>
    <t>Cerambycidae</t>
  </si>
  <si>
    <t>Rondibilis</t>
  </si>
  <si>
    <t>Rondibilis sp.</t>
  </si>
  <si>
    <t>Zotu1481</t>
  </si>
  <si>
    <t>Zotu1482</t>
  </si>
  <si>
    <t>Julidae</t>
  </si>
  <si>
    <t>Cylindroiulus</t>
  </si>
  <si>
    <t>Cylindroiulus sp. BIOUG16141-H05</t>
  </si>
  <si>
    <t>Chilopoda sp. CHIL-BLAN41</t>
  </si>
  <si>
    <t>Zotu1483</t>
  </si>
  <si>
    <t>Zotu1484</t>
  </si>
  <si>
    <t>Zotu1488</t>
  </si>
  <si>
    <t>Zotu1492</t>
  </si>
  <si>
    <t>Zotu1494</t>
  </si>
  <si>
    <t>Drosophila apodasta</t>
  </si>
  <si>
    <t>Drosophila diamphidiopoda</t>
  </si>
  <si>
    <t>Zotu1495</t>
  </si>
  <si>
    <t>Zotu1497</t>
  </si>
  <si>
    <t>Paguropsis</t>
  </si>
  <si>
    <t>Paguropsis confusa</t>
  </si>
  <si>
    <t>Zotu1508</t>
  </si>
  <si>
    <t>Curculionidae sp. INDOBIOSYS-CCDB25942-G09</t>
  </si>
  <si>
    <t>Curculionidae sp. INDOBIOSYS-CCDB25942-E07</t>
  </si>
  <si>
    <t>Zotu1513</t>
  </si>
  <si>
    <t>Cryptachaea</t>
  </si>
  <si>
    <t>Cryptachaea veruculata</t>
  </si>
  <si>
    <t>Zotu1514</t>
  </si>
  <si>
    <t>Sympycninae sp. BIOUG27398-C09</t>
  </si>
  <si>
    <t>Zotu1517</t>
  </si>
  <si>
    <t>Zotu1522</t>
  </si>
  <si>
    <t>Cecidomyiidae sp. BOLD-2016</t>
  </si>
  <si>
    <t>Ectinosoma</t>
  </si>
  <si>
    <t>Ectinosoma melaniceps</t>
  </si>
  <si>
    <t>Zotu1524</t>
  </si>
  <si>
    <t>Phytoliriomyza</t>
  </si>
  <si>
    <t>Phytoliriomyza dorsata</t>
  </si>
  <si>
    <t>Discobola</t>
  </si>
  <si>
    <t>Discobola annulata</t>
  </si>
  <si>
    <t>Zotu1527</t>
  </si>
  <si>
    <t>Zotu1530</t>
  </si>
  <si>
    <t>Diadegma sp. BIOUG14901-C08</t>
  </si>
  <si>
    <t>Diadegma</t>
  </si>
  <si>
    <t>Diadegma blackburni</t>
  </si>
  <si>
    <t>Zotu1534</t>
  </si>
  <si>
    <t>Zotu1535</t>
  </si>
  <si>
    <t>Diptera sp. BOLD:ACI7375</t>
  </si>
  <si>
    <t>Coccinellidae sp.</t>
  </si>
  <si>
    <t>Zotu1537</t>
  </si>
  <si>
    <t>Caridea sp. LPdivOTU343</t>
  </si>
  <si>
    <t>Caridea sp. LPdivOTU48</t>
  </si>
  <si>
    <t>Zotu1539</t>
  </si>
  <si>
    <t>Zotu1541</t>
  </si>
  <si>
    <t>Eucalliphora</t>
  </si>
  <si>
    <t>Eucalliphora latifrons</t>
  </si>
  <si>
    <t>Zotu1542</t>
  </si>
  <si>
    <t>Monomorium</t>
  </si>
  <si>
    <t>Monomorium floricola</t>
  </si>
  <si>
    <t>Zotu1543</t>
  </si>
  <si>
    <t>Zotu1545</t>
  </si>
  <si>
    <t>Zotu1546</t>
  </si>
  <si>
    <t>Labdia</t>
  </si>
  <si>
    <t>Labdia issikii</t>
  </si>
  <si>
    <t>Lepidoptera sp. BOLD:AAA0143</t>
  </si>
  <si>
    <t>Zotu1548</t>
  </si>
  <si>
    <t>Nesosydne chambersi</t>
  </si>
  <si>
    <t>Zotu1550</t>
  </si>
  <si>
    <t>Lepidostoma venulare</t>
  </si>
  <si>
    <t>Zotu1551</t>
  </si>
  <si>
    <t>Zotu1552</t>
  </si>
  <si>
    <t>Anopheles</t>
  </si>
  <si>
    <t>Anopheles barbirostris</t>
  </si>
  <si>
    <t>Phoridae</t>
  </si>
  <si>
    <t>Phoridae sp.</t>
  </si>
  <si>
    <t>Zotu1553</t>
  </si>
  <si>
    <t>Osmia pentstemonis</t>
  </si>
  <si>
    <t>Osmia</t>
  </si>
  <si>
    <t>Osmia tristella</t>
  </si>
  <si>
    <t>Zotu1554</t>
  </si>
  <si>
    <t>Zotu1556</t>
  </si>
  <si>
    <t>Philodromus cespitum</t>
  </si>
  <si>
    <t>Zotu1557</t>
  </si>
  <si>
    <t>Steatoda</t>
  </si>
  <si>
    <t>Steatoda nobilis</t>
  </si>
  <si>
    <t>Zotu1560</t>
  </si>
  <si>
    <t>Zotu1561</t>
  </si>
  <si>
    <t>Coleoptera sp.</t>
  </si>
  <si>
    <t>Zotu1562</t>
  </si>
  <si>
    <t>Zotu1564</t>
  </si>
  <si>
    <t>Symphypleona sp. BOLD:ACF8030</t>
  </si>
  <si>
    <t>Zotu1565</t>
  </si>
  <si>
    <t>Culex quinquefasciatus</t>
  </si>
  <si>
    <t>Culex pipiens</t>
  </si>
  <si>
    <t>Zotu1566</t>
  </si>
  <si>
    <t>Nemorimyza</t>
  </si>
  <si>
    <t>Nemorimyza posticata</t>
  </si>
  <si>
    <t>Phortica</t>
  </si>
  <si>
    <t>Phortica saltiaristula</t>
  </si>
  <si>
    <t>Zotu1569</t>
  </si>
  <si>
    <t>Aspidiotes</t>
  </si>
  <si>
    <t>Aspidiotes cottyi</t>
  </si>
  <si>
    <t>Zotu1570</t>
  </si>
  <si>
    <t>Zotu1576</t>
  </si>
  <si>
    <t>Zotu1577</t>
  </si>
  <si>
    <t>Zotu1578</t>
  </si>
  <si>
    <t>Chloroclystis pyrrholopha</t>
  </si>
  <si>
    <t>Chloroclystis</t>
  </si>
  <si>
    <t>Chloroclystis sp.</t>
  </si>
  <si>
    <t>Zotu1579</t>
  </si>
  <si>
    <t>Lepidocyrtus</t>
  </si>
  <si>
    <t>Lepidocyrtus cyaneus</t>
  </si>
  <si>
    <t>Zotu1582</t>
  </si>
  <si>
    <t>Zotu1584</t>
  </si>
  <si>
    <t>Zotu1587</t>
  </si>
  <si>
    <t>Zotu1588</t>
  </si>
  <si>
    <t>Zotu1594</t>
  </si>
  <si>
    <t>Carposina sp. 1 CD-2022a</t>
  </si>
  <si>
    <t>Zotu1595</t>
  </si>
  <si>
    <t>Zotu1596</t>
  </si>
  <si>
    <t>Paracalanidae</t>
  </si>
  <si>
    <t>Acrocalanus</t>
  </si>
  <si>
    <t>Acrocalanus andersoni</t>
  </si>
  <si>
    <t>Zotu1599</t>
  </si>
  <si>
    <t>Zotu1606</t>
  </si>
  <si>
    <t>Scoparia</t>
  </si>
  <si>
    <t>Scoparia anthracomochla</t>
  </si>
  <si>
    <t>Zotu1608</t>
  </si>
  <si>
    <t>Scaptomyza flava</t>
  </si>
  <si>
    <t>Zotu1609</t>
  </si>
  <si>
    <t>Ardozyga</t>
  </si>
  <si>
    <t>Ardozyga sp. ANIC28</t>
  </si>
  <si>
    <t>Hyposmocoma palmifera</t>
  </si>
  <si>
    <t>Zotu1611</t>
  </si>
  <si>
    <t>Zotu1613</t>
  </si>
  <si>
    <t>Coleosoma</t>
  </si>
  <si>
    <t>Coleosoma floridanum</t>
  </si>
  <si>
    <t>Zotu1614</t>
  </si>
  <si>
    <t>Zotu1615</t>
  </si>
  <si>
    <t>Zotu1616</t>
  </si>
  <si>
    <t>Zotu1617</t>
  </si>
  <si>
    <t>Manoba</t>
  </si>
  <si>
    <t>Manoba sp. BC-2015</t>
  </si>
  <si>
    <t>Lepidoptera sp. BOLD:AAD4724</t>
  </si>
  <si>
    <t>Zotu1621</t>
  </si>
  <si>
    <t>Zotu1622</t>
  </si>
  <si>
    <t>Zotu1629</t>
  </si>
  <si>
    <t>Mycodiplosis</t>
  </si>
  <si>
    <t>Mycodiplosis sp.</t>
  </si>
  <si>
    <t>Zotu1633</t>
  </si>
  <si>
    <t>Leucauge sp. 6 JAB-2021a</t>
  </si>
  <si>
    <t>Leucauge</t>
  </si>
  <si>
    <t>Leucauge celebesiana</t>
  </si>
  <si>
    <t>Zotu1638</t>
  </si>
  <si>
    <t>Zotu1639</t>
  </si>
  <si>
    <t>Apis sp. BT-253</t>
  </si>
  <si>
    <t>Zotu1640</t>
  </si>
  <si>
    <t>Zotu1642</t>
  </si>
  <si>
    <t>Zotu1643</t>
  </si>
  <si>
    <t>Zotu1644</t>
  </si>
  <si>
    <t>Zotu1646</t>
  </si>
  <si>
    <t>Idotea</t>
  </si>
  <si>
    <t>Idotea ochotensis</t>
  </si>
  <si>
    <t>Zotu1648</t>
  </si>
  <si>
    <t>Zotu1654</t>
  </si>
  <si>
    <t>Zotu1656</t>
  </si>
  <si>
    <t>Zotu1657</t>
  </si>
  <si>
    <t>Zotu1661</t>
  </si>
  <si>
    <t>Aphidius</t>
  </si>
  <si>
    <t>Aphidius colemani</t>
  </si>
  <si>
    <t>Zotu1662</t>
  </si>
  <si>
    <t>Zotu1669</t>
  </si>
  <si>
    <t>Zotu1670</t>
  </si>
  <si>
    <t>Drosophilidae sp. sc_05673</t>
  </si>
  <si>
    <t>Zotu1671</t>
  </si>
  <si>
    <t>Zotu1674</t>
  </si>
  <si>
    <t>Zotu1675</t>
  </si>
  <si>
    <t>Zotu1677</t>
  </si>
  <si>
    <t>Zotu1678</t>
  </si>
  <si>
    <t>Scaptodrosophila</t>
  </si>
  <si>
    <t>Scaptodrosophila angustifolia</t>
  </si>
  <si>
    <t>Teuchophorus</t>
  </si>
  <si>
    <t>Teuchophorus obliquus</t>
  </si>
  <si>
    <t>Zotu1682</t>
  </si>
  <si>
    <t>Zotu1684</t>
  </si>
  <si>
    <t>Cryptachaea blattea</t>
  </si>
  <si>
    <t>Zotu1687</t>
  </si>
  <si>
    <t>Hyposmocoma pahanalo</t>
  </si>
  <si>
    <t>Zotu1696</t>
  </si>
  <si>
    <t>Zotu1700</t>
  </si>
  <si>
    <t>Zotu1707</t>
  </si>
  <si>
    <t>Mycetophilidae</t>
  </si>
  <si>
    <t>Allactoneura</t>
  </si>
  <si>
    <t>Allactoneura akasakana</t>
  </si>
  <si>
    <t>Cerodontha</t>
  </si>
  <si>
    <t>Cerodontha bimaculata</t>
  </si>
  <si>
    <t>Zotu1711</t>
  </si>
  <si>
    <t>Zotu1717</t>
  </si>
  <si>
    <t>Zotu1719</t>
  </si>
  <si>
    <t>Platygastridae sp. BOLD:AAG7963</t>
  </si>
  <si>
    <t>Zotu1724</t>
  </si>
  <si>
    <t>Zotu1725</t>
  </si>
  <si>
    <t>Zotu1730</t>
  </si>
  <si>
    <t>Zotu1735</t>
  </si>
  <si>
    <t>Eupodidae sp. BOLD:AAW0399</t>
  </si>
  <si>
    <t>Zotu1739</t>
  </si>
  <si>
    <t>Zotu1740</t>
  </si>
  <si>
    <t>Nilaparvata</t>
  </si>
  <si>
    <t>Nilaparvata bakeri</t>
  </si>
  <si>
    <t>Cicadellidae sp. sc_01510</t>
  </si>
  <si>
    <t>Zotu1746</t>
  </si>
  <si>
    <t>Zotu1747</t>
  </si>
  <si>
    <t>Zotu1750</t>
  </si>
  <si>
    <t>Zotu1755</t>
  </si>
  <si>
    <t>Zotu1756</t>
  </si>
  <si>
    <t>Orthocladiinae sp. BARS_2016_2_091</t>
  </si>
  <si>
    <t>Orthocladiinae sp. BARS_2016_20_150</t>
  </si>
  <si>
    <t>Zotu1765</t>
  </si>
  <si>
    <t>Zotu1766</t>
  </si>
  <si>
    <t>Zotu1767</t>
  </si>
  <si>
    <t>Rhyzobius</t>
  </si>
  <si>
    <t>Rhyzobius lophanthae</t>
  </si>
  <si>
    <t>Zotu1771</t>
  </si>
  <si>
    <t>Zotu1772</t>
  </si>
  <si>
    <t>Zotu1778</t>
  </si>
  <si>
    <t>Zotu1779</t>
  </si>
  <si>
    <t>Zotu1780</t>
  </si>
  <si>
    <t>Zotu1781</t>
  </si>
  <si>
    <t>Zotu1782</t>
  </si>
  <si>
    <t>Zotu1783</t>
  </si>
  <si>
    <t>Hyposmocoma hooilo</t>
  </si>
  <si>
    <t>Zotu1784</t>
  </si>
  <si>
    <t>Diptera sp. BOLD:ACC5969</t>
  </si>
  <si>
    <t>Zotu1790</t>
  </si>
  <si>
    <t>Zotu1799</t>
  </si>
  <si>
    <t>Zotu1803</t>
  </si>
  <si>
    <t>Empididae</t>
  </si>
  <si>
    <t>Rhamphomyia</t>
  </si>
  <si>
    <t>Rhamphomyia sp. 1 BKC-2015</t>
  </si>
  <si>
    <t>Rhopalopterum</t>
  </si>
  <si>
    <t>Rhopalopterum sp. BOLD:ACA9702</t>
  </si>
  <si>
    <t>Zotu1805</t>
  </si>
  <si>
    <t>Zotu1806</t>
  </si>
  <si>
    <t>Zotu1810</t>
  </si>
  <si>
    <t>Anystidae sp. BIOUG08496-D08</t>
  </si>
  <si>
    <t>Zotu1812</t>
  </si>
  <si>
    <t>Litargus</t>
  </si>
  <si>
    <t>Litargus vestitus</t>
  </si>
  <si>
    <t>Zotu1813</t>
  </si>
  <si>
    <t>Zotu1817</t>
  </si>
  <si>
    <t>Zotu1818</t>
  </si>
  <si>
    <t>Blattellidae</t>
  </si>
  <si>
    <t>Blattella</t>
  </si>
  <si>
    <t>Blattella germanica</t>
  </si>
  <si>
    <t>Zotu1822</t>
  </si>
  <si>
    <t>Cheiracanthiidae</t>
  </si>
  <si>
    <t>Cheiracanthium</t>
  </si>
  <si>
    <t>Cheiracanthium sp.</t>
  </si>
  <si>
    <t>Araneae sp. AS-20175</t>
  </si>
  <si>
    <t>Zotu1826</t>
  </si>
  <si>
    <t>Zotu1827</t>
  </si>
  <si>
    <t>Cypridopsis vidua</t>
  </si>
  <si>
    <t>Cypridopsis</t>
  </si>
  <si>
    <t>Cypridopsis sp. Biologic-OSTR011</t>
  </si>
  <si>
    <t>Zotu1828</t>
  </si>
  <si>
    <t>Drosophila mettleri</t>
  </si>
  <si>
    <t>Tachinidae</t>
  </si>
  <si>
    <t>Tachininae sp. BOLD:ABV4494</t>
  </si>
  <si>
    <t>Zotu1836</t>
  </si>
  <si>
    <t>Zotu1837</t>
  </si>
  <si>
    <t>Zotu1840</t>
  </si>
  <si>
    <t>Zotu1842</t>
  </si>
  <si>
    <t>Pullimosina</t>
  </si>
  <si>
    <t>Pullimosina moesta</t>
  </si>
  <si>
    <t>Zotu1843</t>
  </si>
  <si>
    <t>Zotu1844</t>
  </si>
  <si>
    <t>Leucophenga</t>
  </si>
  <si>
    <t>Leucophenga sp. HWC-2012i</t>
  </si>
  <si>
    <t>Zotu1845</t>
  </si>
  <si>
    <t>Zotu1847</t>
  </si>
  <si>
    <t>Cheilomenes</t>
  </si>
  <si>
    <t>Cheilomenes sexmaculata</t>
  </si>
  <si>
    <t>Zotu1848</t>
  </si>
  <si>
    <t>Porcellionides</t>
  </si>
  <si>
    <t>Porcellionides pruinosus</t>
  </si>
  <si>
    <t>Zotu1855</t>
  </si>
  <si>
    <t>Scaptomyza pallida</t>
  </si>
  <si>
    <t>Zotu1857</t>
  </si>
  <si>
    <t>Zotu1865</t>
  </si>
  <si>
    <t>Zotu1870</t>
  </si>
  <si>
    <t>Leptonetela hamata</t>
  </si>
  <si>
    <t>Zotu1874</t>
  </si>
  <si>
    <t>Nymphalidae</t>
  </si>
  <si>
    <t>Argynnis</t>
  </si>
  <si>
    <t>Argynnis pandora</t>
  </si>
  <si>
    <t>Zotu1877</t>
  </si>
  <si>
    <t>Euteliidae</t>
  </si>
  <si>
    <t>Lophoptera</t>
  </si>
  <si>
    <t>Lophoptera sp.</t>
  </si>
  <si>
    <t>Zotu1880</t>
  </si>
  <si>
    <t>Anastrepha</t>
  </si>
  <si>
    <t>Anastrepha raveni</t>
  </si>
  <si>
    <t>Orisarma</t>
  </si>
  <si>
    <t>Orisarma patshuni</t>
  </si>
  <si>
    <t>Zotu1884</t>
  </si>
  <si>
    <t>Tachinidae sp.</t>
  </si>
  <si>
    <t>Zotu1885</t>
  </si>
  <si>
    <t>Zotu1886</t>
  </si>
  <si>
    <t>Drosophila cnecopleura</t>
  </si>
  <si>
    <t>Drosophila trichaetosa</t>
  </si>
  <si>
    <t>Zotu1887</t>
  </si>
  <si>
    <t>Zotu1889</t>
  </si>
  <si>
    <t>Philodromus sp. BIOUG32649-E06</t>
  </si>
  <si>
    <t>Philodromus praelustris</t>
  </si>
  <si>
    <t>Zotu1890</t>
  </si>
  <si>
    <t>Zotu1891</t>
  </si>
  <si>
    <t>Zotu1892</t>
  </si>
  <si>
    <t>Aphidius leclanti</t>
  </si>
  <si>
    <t>Aphidius areolatus</t>
  </si>
  <si>
    <t>Zotu1893</t>
  </si>
  <si>
    <t>Lepidoptera sp. BOLD:AAA0072</t>
  </si>
  <si>
    <t>Zotu1894</t>
  </si>
  <si>
    <t>Rhicnogryllus</t>
  </si>
  <si>
    <t>Rhicnogryllus sp. 2 ZQH-2021j</t>
  </si>
  <si>
    <t>Zotu1897</t>
  </si>
  <si>
    <t>Proteroiulus</t>
  </si>
  <si>
    <t>Proteroiulus fuscus</t>
  </si>
  <si>
    <t>Zotu1903</t>
  </si>
  <si>
    <t>Zotu1904</t>
  </si>
  <si>
    <t>Zotu1907</t>
  </si>
  <si>
    <t>Zotu1909</t>
  </si>
  <si>
    <t>Kallitaxila</t>
  </si>
  <si>
    <t>Kallitaxila sinica</t>
  </si>
  <si>
    <t>Zotu1911</t>
  </si>
  <si>
    <t>Hyposmocoma malornata</t>
  </si>
  <si>
    <t>Zotu1916</t>
  </si>
  <si>
    <t>Aphelinidae sp. INDOBIOSYS-CCDB25940-E05</t>
  </si>
  <si>
    <t>Encarsia</t>
  </si>
  <si>
    <t>Encarsia sp. BOLD-2016</t>
  </si>
  <si>
    <t>Zotu1918</t>
  </si>
  <si>
    <t>Oscinella</t>
  </si>
  <si>
    <t>Oscinella sp. BIOUG26982-F09</t>
  </si>
  <si>
    <t>Zotu1921</t>
  </si>
  <si>
    <t>Zotu1926</t>
  </si>
  <si>
    <t>Trioza sp. ABINEP-SK-BA</t>
  </si>
  <si>
    <t>Trioza</t>
  </si>
  <si>
    <t>Trioza remota</t>
  </si>
  <si>
    <t>Zotu1927</t>
  </si>
  <si>
    <t>Zotu1932</t>
  </si>
  <si>
    <t>Zotu1939</t>
  </si>
  <si>
    <t>Notiopambolus sp. BIOUG46110-E12</t>
  </si>
  <si>
    <t>Notiopambolus</t>
  </si>
  <si>
    <t>Notiopambolus sp. BIOUG36019-B03</t>
  </si>
  <si>
    <t>Zotu1945</t>
  </si>
  <si>
    <t>Zotu1952</t>
  </si>
  <si>
    <t>Psychoda sp. BOLD:AAP4716</t>
  </si>
  <si>
    <t>Psychoda</t>
  </si>
  <si>
    <t>Psychoda sp.</t>
  </si>
  <si>
    <t>Zotu1954</t>
  </si>
  <si>
    <t>Zotu1958</t>
  </si>
  <si>
    <t>Corynoneura</t>
  </si>
  <si>
    <t>Corynoneura sp.</t>
  </si>
  <si>
    <t>Zotu1959</t>
  </si>
  <si>
    <t>Zotu1960</t>
  </si>
  <si>
    <t>Heptagenia</t>
  </si>
  <si>
    <t>Heptagenia longicauda</t>
  </si>
  <si>
    <t>Callimerus</t>
  </si>
  <si>
    <t>Callimerus sp. 1 NLG-2013</t>
  </si>
  <si>
    <t>Zotu1963</t>
  </si>
  <si>
    <t>Pristomerus</t>
  </si>
  <si>
    <t>Zotu1964</t>
  </si>
  <si>
    <t>Clerarcha</t>
  </si>
  <si>
    <t>Clerarcha dryinopa</t>
  </si>
  <si>
    <t>Tymbophora</t>
  </si>
  <si>
    <t>Tymbophora peltastis</t>
  </si>
  <si>
    <t>Zotu1973</t>
  </si>
  <si>
    <t>Agrypon flexorium</t>
  </si>
  <si>
    <t>Agrypon</t>
  </si>
  <si>
    <t>Agrypon sp.</t>
  </si>
  <si>
    <t>Zotu1974</t>
  </si>
  <si>
    <t>Siphanta</t>
  </si>
  <si>
    <t>Siphanta acuta</t>
  </si>
  <si>
    <t>Zotu1975</t>
  </si>
  <si>
    <t>Drosophila zottii</t>
  </si>
  <si>
    <t>Zotu1977</t>
  </si>
  <si>
    <t>Xanthorhoe</t>
  </si>
  <si>
    <t>Xanthorhoe labradorensis</t>
  </si>
  <si>
    <t>Zotu1978</t>
  </si>
  <si>
    <t>Longitarsus</t>
  </si>
  <si>
    <t>Longitarsus albineus</t>
  </si>
  <si>
    <t>Zotu1979</t>
  </si>
  <si>
    <t>Zotu1984</t>
  </si>
  <si>
    <t>Mecyclothorax</t>
  </si>
  <si>
    <t>Mecyclothorax sp. sc_09300</t>
  </si>
  <si>
    <t>Moriomorphini sp.</t>
  </si>
  <si>
    <t>Zotu1986</t>
  </si>
  <si>
    <t>Dasyopa</t>
  </si>
  <si>
    <t>Dasyopa triangulata</t>
  </si>
  <si>
    <t>Zotu1988</t>
  </si>
  <si>
    <t>Zotu1992</t>
  </si>
  <si>
    <t>Zotu1993</t>
  </si>
  <si>
    <t>Niphargus</t>
  </si>
  <si>
    <t>Niphargus novomestanus</t>
  </si>
  <si>
    <t>Zotu1995</t>
  </si>
  <si>
    <t>Osmia sp. 'torchioi'</t>
  </si>
  <si>
    <t>Osmia ednae</t>
  </si>
  <si>
    <t>Zotu1997</t>
  </si>
  <si>
    <t>Pompilidae sp. BOLD-2016</t>
  </si>
  <si>
    <t>Zotu1999</t>
  </si>
  <si>
    <t>Zotu2002</t>
  </si>
  <si>
    <t>Nymphalis</t>
  </si>
  <si>
    <t>Nymphalis c-album</t>
  </si>
  <si>
    <t>Zotu2006</t>
  </si>
  <si>
    <t>Zotu2007</t>
  </si>
  <si>
    <t>Zotu2008</t>
  </si>
  <si>
    <t>Argina</t>
  </si>
  <si>
    <t>Argina astrea</t>
  </si>
  <si>
    <t>Zotu2012</t>
  </si>
  <si>
    <t>Hyposmocoma sp. 93 WPH-2014</t>
  </si>
  <si>
    <t>Zotu2013</t>
  </si>
  <si>
    <t>Zotu2015</t>
  </si>
  <si>
    <t>Zotu2016</t>
  </si>
  <si>
    <t>Zotu2027</t>
  </si>
  <si>
    <t>Feralia</t>
  </si>
  <si>
    <t>Feralia februalis</t>
  </si>
  <si>
    <t>Lichenaula</t>
  </si>
  <si>
    <t>Lichenaula sp. ANIC80</t>
  </si>
  <si>
    <t>Zotu2030</t>
  </si>
  <si>
    <t>Zotu2034</t>
  </si>
  <si>
    <t>Zotu2037</t>
  </si>
  <si>
    <t>Zotu2038</t>
  </si>
  <si>
    <t>Zotu2040</t>
  </si>
  <si>
    <t>Chrysopidae sp. sc_05639</t>
  </si>
  <si>
    <t>Mallada</t>
  </si>
  <si>
    <t>Mallada yangae</t>
  </si>
  <si>
    <t>Zotu2044</t>
  </si>
  <si>
    <t>Diplostyla</t>
  </si>
  <si>
    <t>Diplostyla concolor</t>
  </si>
  <si>
    <t>Badumna sp.</t>
  </si>
  <si>
    <t>Zotu2047</t>
  </si>
  <si>
    <t>Zotu2054</t>
  </si>
  <si>
    <t>Spilogona novemmaculata</t>
  </si>
  <si>
    <t>Spilogona</t>
  </si>
  <si>
    <t>Spilogona fatima</t>
  </si>
  <si>
    <t>Zotu2055</t>
  </si>
  <si>
    <t>Zotu2061</t>
  </si>
  <si>
    <t>Zotu2065</t>
  </si>
  <si>
    <t>Nabis alternatus</t>
  </si>
  <si>
    <t>Nabis americoferus</t>
  </si>
  <si>
    <t>Zotu2066</t>
  </si>
  <si>
    <t>Zotu2067</t>
  </si>
  <si>
    <t>Zotu2071</t>
  </si>
  <si>
    <t>Nymphalis polychloros</t>
  </si>
  <si>
    <t>Tetramorium</t>
  </si>
  <si>
    <t>Tetramorium bicarinatum</t>
  </si>
  <si>
    <t>Zotu2073</t>
  </si>
  <si>
    <t>Zotu2077</t>
  </si>
  <si>
    <t>Enlopholepis</t>
  </si>
  <si>
    <t>Enlopholepis mediolinea</t>
  </si>
  <si>
    <t>Carposina telesia</t>
  </si>
  <si>
    <t>Zotu2087</t>
  </si>
  <si>
    <t>Zotu2088</t>
  </si>
  <si>
    <t>Zotu2090</t>
  </si>
  <si>
    <t>Zotu2095</t>
  </si>
  <si>
    <t>Neoblastobasis</t>
  </si>
  <si>
    <t>Neoblastobasis biceratala</t>
  </si>
  <si>
    <t>Zotu2097</t>
  </si>
  <si>
    <t>Lepidopsocidae sp. sc_08283</t>
  </si>
  <si>
    <t>Zotu2102</t>
  </si>
  <si>
    <t>Hypocera</t>
  </si>
  <si>
    <t>Hypocera ehrmanni</t>
  </si>
  <si>
    <t>Zotu2107</t>
  </si>
  <si>
    <t>Tydeidae sp. BIOUG27286-G03</t>
  </si>
  <si>
    <t>Zotu2108</t>
  </si>
  <si>
    <t>Taeniapterinae sp.</t>
  </si>
  <si>
    <t>Zotu2109</t>
  </si>
  <si>
    <t>Gammarus crinicornis</t>
  </si>
  <si>
    <t>Zotu2111</t>
  </si>
  <si>
    <t>Cinara piniphila</t>
  </si>
  <si>
    <t>Cinara</t>
  </si>
  <si>
    <t>Cinara balachowskyi</t>
  </si>
  <si>
    <t>Zotu2114</t>
  </si>
  <si>
    <t>Hypopomidae</t>
  </si>
  <si>
    <t>Microsternarchus</t>
  </si>
  <si>
    <t>Microsternarchus sp. j CE-2024</t>
  </si>
  <si>
    <t>Strophopteryx</t>
  </si>
  <si>
    <t>Strophopteryx fasciata</t>
  </si>
  <si>
    <t>Zotu2116</t>
  </si>
  <si>
    <t>Zotu2117</t>
  </si>
  <si>
    <t>Polypedilum</t>
  </si>
  <si>
    <t>Polypedilum sp. BOLD-2016</t>
  </si>
  <si>
    <t>Zotu2123</t>
  </si>
  <si>
    <t>Drosophila petalopeza</t>
  </si>
  <si>
    <t>Zotu2127</t>
  </si>
  <si>
    <t>Zotu2131</t>
  </si>
  <si>
    <t>Plagiolepis</t>
  </si>
  <si>
    <t>Plagiolepis alluaudi</t>
  </si>
  <si>
    <t>Zotu2133</t>
  </si>
  <si>
    <t>Zotu2136</t>
  </si>
  <si>
    <t>Longitarsus strigicollis</t>
  </si>
  <si>
    <t>Zotu2139</t>
  </si>
  <si>
    <t>Zotu2146</t>
  </si>
  <si>
    <t>Coccinellidae sp. PSRU-COC001</t>
  </si>
  <si>
    <t>Zotu2148</t>
  </si>
  <si>
    <t>Zotu2150</t>
  </si>
  <si>
    <t>Zotu2151</t>
  </si>
  <si>
    <t>Mymaridae sp. BOLD:ACI4259</t>
  </si>
  <si>
    <t>Zotu2156</t>
  </si>
  <si>
    <t>Zotu2157</t>
  </si>
  <si>
    <t>Zotu2160</t>
  </si>
  <si>
    <t>Zotu2162</t>
  </si>
  <si>
    <t>Zotu2164</t>
  </si>
  <si>
    <t>Zombrus</t>
  </si>
  <si>
    <t>Zombrus bicolor</t>
  </si>
  <si>
    <t>Tachysphex karasi</t>
  </si>
  <si>
    <t>Zotu2165</t>
  </si>
  <si>
    <t>Zotu2167</t>
  </si>
  <si>
    <t>Zotu2169</t>
  </si>
  <si>
    <t>Leptosciarella</t>
  </si>
  <si>
    <t>Leptosciarella sp. BOLD-2016</t>
  </si>
  <si>
    <t>Sciaridae sp. BOLD:ACK6301</t>
  </si>
  <si>
    <t>Zotu2170</t>
  </si>
  <si>
    <t>Macracantha</t>
  </si>
  <si>
    <t>Macracantha hasselti</t>
  </si>
  <si>
    <t>Zotu2171</t>
  </si>
  <si>
    <t>Cheumatopsyche sp. BOLD:AAA5695</t>
  </si>
  <si>
    <t>Cheumatopsyche</t>
  </si>
  <si>
    <t>Cheumatopsyche analis</t>
  </si>
  <si>
    <t>Zotu2172</t>
  </si>
  <si>
    <t>Palpita</t>
  </si>
  <si>
    <t>Palpita quadristigmalis</t>
  </si>
  <si>
    <t>Zotu2175</t>
  </si>
  <si>
    <t>Pterophoridae</t>
  </si>
  <si>
    <t>Deuterocopus</t>
  </si>
  <si>
    <t>Deuterocopus triannulatus</t>
  </si>
  <si>
    <t>Lepidoptera sp. BOLD:AAA0285</t>
  </si>
  <si>
    <t>Zotu2178</t>
  </si>
  <si>
    <t>Andrenidae</t>
  </si>
  <si>
    <t>Panurginus</t>
  </si>
  <si>
    <t>Panurginus crawfordi</t>
  </si>
  <si>
    <t>Athalia</t>
  </si>
  <si>
    <t>Athalia paradoxa</t>
  </si>
  <si>
    <t>Zotu2181</t>
  </si>
  <si>
    <t>Zotu2182</t>
  </si>
  <si>
    <t>Caecilius</t>
  </si>
  <si>
    <t>Caecilius sp.</t>
  </si>
  <si>
    <t>Zotu2185</t>
  </si>
  <si>
    <t>Hylesia</t>
  </si>
  <si>
    <t>Hylesia ebalus</t>
  </si>
  <si>
    <t>Rachesa</t>
  </si>
  <si>
    <t>Rachesa chrisbrechlinae</t>
  </si>
  <si>
    <t>Zotu2187</t>
  </si>
  <si>
    <t>Zotu2190</t>
  </si>
  <si>
    <t>Zotu2192</t>
  </si>
  <si>
    <t>Zotu2194</t>
  </si>
  <si>
    <t>Boeckella</t>
  </si>
  <si>
    <t>Boeckella sp.</t>
  </si>
  <si>
    <t>Parasitidae sp. BOLD:ADD3221</t>
  </si>
  <si>
    <t>Zotu2202</t>
  </si>
  <si>
    <t>Polypedilum kasumiense</t>
  </si>
  <si>
    <t>Polypedilum fanjingensis</t>
  </si>
  <si>
    <t>Zotu2203</t>
  </si>
  <si>
    <t>Thrips imaginis</t>
  </si>
  <si>
    <t>Microcephalothrips</t>
  </si>
  <si>
    <t>Microcephalothrips abdominalis</t>
  </si>
  <si>
    <t>Zotu2205</t>
  </si>
  <si>
    <t>Zotu2207</t>
  </si>
  <si>
    <t>Pimplinae sp. BOLD-2016</t>
  </si>
  <si>
    <t>Zotu2209</t>
  </si>
  <si>
    <t>Rhithrogena sibirica</t>
  </si>
  <si>
    <t>Zotu2214</t>
  </si>
  <si>
    <t>Zotu2217</t>
  </si>
  <si>
    <t>Ichneumoninae sp. BOLD:AAH1974</t>
  </si>
  <si>
    <t>Zotu2218</t>
  </si>
  <si>
    <t>Apochrysa</t>
  </si>
  <si>
    <t>Apochrysa matsumurae</t>
  </si>
  <si>
    <t>Zotu2220</t>
  </si>
  <si>
    <t>Panesthia</t>
  </si>
  <si>
    <t>Panesthia angustipennis</t>
  </si>
  <si>
    <t>Balta</t>
  </si>
  <si>
    <t>Balta scripta</t>
  </si>
  <si>
    <t>Zotu2223</t>
  </si>
  <si>
    <t>Macrostomus</t>
  </si>
  <si>
    <t>Macrostomus sp. 4 BKC-2015</t>
  </si>
  <si>
    <t>Zotu2225</t>
  </si>
  <si>
    <t>Azelia cilipes</t>
  </si>
  <si>
    <t>Zotu2230</t>
  </si>
  <si>
    <t>Zotu2233</t>
  </si>
  <si>
    <t>Theridiidae sp. WAM T149350</t>
  </si>
  <si>
    <t>Theridiidae sp. WAM T149348</t>
  </si>
  <si>
    <t>Zotu2237</t>
  </si>
  <si>
    <t>Tetragnatha brevignatha</t>
  </si>
  <si>
    <t>Zotu2238</t>
  </si>
  <si>
    <t>Zotu2241</t>
  </si>
  <si>
    <t>Chalarus</t>
  </si>
  <si>
    <t>Zotu2243</t>
  </si>
  <si>
    <t>Zotu2246</t>
  </si>
  <si>
    <t>Zotu2250</t>
  </si>
  <si>
    <t>Harpacticoida sp. 10BIOBC-00715</t>
  </si>
  <si>
    <t>Zotu2252</t>
  </si>
  <si>
    <t>Zotu2253</t>
  </si>
  <si>
    <t>Zotu2256</t>
  </si>
  <si>
    <t>Zotu2258</t>
  </si>
  <si>
    <t>Zotu2259</t>
  </si>
  <si>
    <t>Zotu2260</t>
  </si>
  <si>
    <t>Phalangiidae</t>
  </si>
  <si>
    <t>Odiellus</t>
  </si>
  <si>
    <t>Odiellus spinosus</t>
  </si>
  <si>
    <t>Hyalyris</t>
  </si>
  <si>
    <t>Hyalyris coeno</t>
  </si>
  <si>
    <t>Zotu2261</t>
  </si>
  <si>
    <t>Zotu2262</t>
  </si>
  <si>
    <t>Cantharidae sp.</t>
  </si>
  <si>
    <t>Zotu2263</t>
  </si>
  <si>
    <t>Microgastrinae sp. BOLD:AAV2117</t>
  </si>
  <si>
    <t>Parapanteles</t>
  </si>
  <si>
    <t>Parapanteles hyposidrae</t>
  </si>
  <si>
    <t>Zotu2267</t>
  </si>
  <si>
    <t>Arenivaga</t>
  </si>
  <si>
    <t>Arenivaga apacha</t>
  </si>
  <si>
    <t>Zotu2269</t>
  </si>
  <si>
    <t>Hyposmocoma sp.</t>
  </si>
  <si>
    <t>Zotu2270</t>
  </si>
  <si>
    <t>Zotu2272</t>
  </si>
  <si>
    <t>Zotu2273</t>
  </si>
  <si>
    <t>Polypedilum sp. BIOUG27459-B07</t>
  </si>
  <si>
    <t>Mycetophilidae sp. BOLD-2016</t>
  </si>
  <si>
    <t>Zotu2275</t>
  </si>
  <si>
    <t>Zotu2281</t>
  </si>
  <si>
    <t>Nerudia sp. 7 BAH-2022a</t>
  </si>
  <si>
    <t>Zotu2284</t>
  </si>
  <si>
    <t>Zotu2289</t>
  </si>
  <si>
    <t>Hymenoptera sp. BOLD:AAN7767</t>
  </si>
  <si>
    <t>Zotu2290</t>
  </si>
  <si>
    <t>Zotu2301</t>
  </si>
  <si>
    <t>Xylorycta apheles</t>
  </si>
  <si>
    <t>Xylorycta</t>
  </si>
  <si>
    <t>Xylorycta sp. ANIC33</t>
  </si>
  <si>
    <t>Zotu2303</t>
  </si>
  <si>
    <t>Amerodectes</t>
  </si>
  <si>
    <t>Amerodectes dumetellae</t>
  </si>
  <si>
    <t>Zotu2305</t>
  </si>
  <si>
    <t>Tetragnatha anuenue</t>
  </si>
  <si>
    <t>Zotu2308</t>
  </si>
  <si>
    <t>Lepidoptera sp. BOLD:AAA9805</t>
  </si>
  <si>
    <t>Miaromima</t>
  </si>
  <si>
    <t>Miaromima cornucopia</t>
  </si>
  <si>
    <t>Zotu2309</t>
  </si>
  <si>
    <t>Megaselia</t>
  </si>
  <si>
    <t>Megaselia perfusca</t>
  </si>
  <si>
    <t>Zotu2311</t>
  </si>
  <si>
    <t>Phantasca</t>
  </si>
  <si>
    <t>Phantasca quadrilobata</t>
  </si>
  <si>
    <t>Zotu2312</t>
  </si>
  <si>
    <t>Eupithecia bowmani</t>
  </si>
  <si>
    <t>Larentiinae sp. INDOBIOSYS-CCDB27010-A10</t>
  </si>
  <si>
    <t>Zotu2313</t>
  </si>
  <si>
    <t>Philodromus vulgaris</t>
  </si>
  <si>
    <t>Philodromus oneida</t>
  </si>
  <si>
    <t>Zotu2315</t>
  </si>
  <si>
    <t>Zotu2317</t>
  </si>
  <si>
    <t>Zotu2318</t>
  </si>
  <si>
    <t>Cosmocomoidea sp. BBP-180</t>
  </si>
  <si>
    <t>Cosmocomoidea</t>
  </si>
  <si>
    <t>Cosmocomoidea morrilli</t>
  </si>
  <si>
    <t>Zotu2322</t>
  </si>
  <si>
    <t>Zotu2323</t>
  </si>
  <si>
    <t>Zotu2326</t>
  </si>
  <si>
    <t>Zotu2327</t>
  </si>
  <si>
    <t>Pyronemataceae</t>
  </si>
  <si>
    <t>Pyronema</t>
  </si>
  <si>
    <t>Pyronema omphalodes</t>
  </si>
  <si>
    <t>Graellsia</t>
  </si>
  <si>
    <t>Graellsia isabellae</t>
  </si>
  <si>
    <t>Zotu2328</t>
  </si>
  <si>
    <t>Pariaconus montgomeri</t>
  </si>
  <si>
    <t>Pariaconus gracilis</t>
  </si>
  <si>
    <t>Zotu2332</t>
  </si>
  <si>
    <t>Zotu2333</t>
  </si>
  <si>
    <t>Anopheles medialis</t>
  </si>
  <si>
    <t>Zotu2335</t>
  </si>
  <si>
    <t>Glyptapanteles</t>
  </si>
  <si>
    <t>Glyptapanteles sp. BOLD-2016</t>
  </si>
  <si>
    <t>Zotu2348</t>
  </si>
  <si>
    <t>Hysteroneura</t>
  </si>
  <si>
    <t>Hysteroneura setariae</t>
  </si>
  <si>
    <t>Zotu2352</t>
  </si>
  <si>
    <t>Drosophila huckinsi</t>
  </si>
  <si>
    <t>Zotu2353</t>
  </si>
  <si>
    <t>Eocyzicus</t>
  </si>
  <si>
    <t>Eocyzicus taiwanensis</t>
  </si>
  <si>
    <t>Zotu2355</t>
  </si>
  <si>
    <t>Zotu2360</t>
  </si>
  <si>
    <t>Zotu2361</t>
  </si>
  <si>
    <t>Araecerus levipennis</t>
  </si>
  <si>
    <t>Araecerus</t>
  </si>
  <si>
    <t>Araecerus sp. sc_00811</t>
  </si>
  <si>
    <t>Zotu2369</t>
  </si>
  <si>
    <t>Zotu2376</t>
  </si>
  <si>
    <t>Calocoris</t>
  </si>
  <si>
    <t>Calocoris barberi</t>
  </si>
  <si>
    <t>Zotu2378</t>
  </si>
  <si>
    <t>Tetragnatha versicolor</t>
  </si>
  <si>
    <t>Zotu2380</t>
  </si>
  <si>
    <t>Zotu2384</t>
  </si>
  <si>
    <t>Zotu2390</t>
  </si>
  <si>
    <t>Zotu2395</t>
  </si>
  <si>
    <t>Clausocalanus</t>
  </si>
  <si>
    <t>Clausocalanus furcatus</t>
  </si>
  <si>
    <t>Zotu2396</t>
  </si>
  <si>
    <t>Eucelatoria</t>
  </si>
  <si>
    <t>Eucelatoria sp. Wood13</t>
  </si>
  <si>
    <t>Zotu2399</t>
  </si>
  <si>
    <t>Zotu2400</t>
  </si>
  <si>
    <t>Scaptodrosophila latifoliacea</t>
  </si>
  <si>
    <t>Dasyopa sp. BOLD:AAH4183</t>
  </si>
  <si>
    <t>Zotu2403</t>
  </si>
  <si>
    <t>Pollenia</t>
  </si>
  <si>
    <t>Pollenia pediculata</t>
  </si>
  <si>
    <t>Zotu2411</t>
  </si>
  <si>
    <t>Zotu2412</t>
  </si>
  <si>
    <t>Dichomeris</t>
  </si>
  <si>
    <t>Dichomeris acuminatus</t>
  </si>
  <si>
    <t>Zotu2414</t>
  </si>
  <si>
    <t>Scaptodrosophila curvata</t>
  </si>
  <si>
    <t>Zotu2418</t>
  </si>
  <si>
    <t>Zotu2424</t>
  </si>
  <si>
    <t>Zotu2426</t>
  </si>
  <si>
    <t>Microgastrinae sp. BOLD:AAM7397</t>
  </si>
  <si>
    <t>Zombrus aff. croceipes CNIN3091</t>
  </si>
  <si>
    <t>Zotu2431</t>
  </si>
  <si>
    <t>Zotu2455</t>
  </si>
  <si>
    <t>Leptonema</t>
  </si>
  <si>
    <t>Leptonema sp. G BG-2018</t>
  </si>
  <si>
    <t>Zotu2458</t>
  </si>
  <si>
    <t>Trigonidium</t>
  </si>
  <si>
    <t>Trigonidium sp. BOLD:AAH2919</t>
  </si>
  <si>
    <t>Zotu2460</t>
  </si>
  <si>
    <t>Zotu2467</t>
  </si>
  <si>
    <t>Zotu2472</t>
  </si>
  <si>
    <t>Zotu2478</t>
  </si>
  <si>
    <t>Zotu2489</t>
  </si>
  <si>
    <t>Zotu2490</t>
  </si>
  <si>
    <t>Zotu2491</t>
  </si>
  <si>
    <t>Zotu2497</t>
  </si>
  <si>
    <t>Zotu2498</t>
  </si>
  <si>
    <t>Zotu2499</t>
  </si>
  <si>
    <t>Zotu2501</t>
  </si>
  <si>
    <t>Thanatus</t>
  </si>
  <si>
    <t>Thanatus vulgaris</t>
  </si>
  <si>
    <t>Zotu2502</t>
  </si>
  <si>
    <t>Mesostigmata sp. BOLD:ACL7934</t>
  </si>
  <si>
    <t>Zotu2506</t>
  </si>
  <si>
    <t>Zotu2513</t>
  </si>
  <si>
    <t>Zotu2516</t>
  </si>
  <si>
    <t>Osmia atriventris</t>
  </si>
  <si>
    <t>Osmia sp. 1101791B-2012-001-00001</t>
  </si>
  <si>
    <t>Zotu2517</t>
  </si>
  <si>
    <t>Amiota</t>
  </si>
  <si>
    <t>Amiota cultella</t>
  </si>
  <si>
    <t>Zotu2519</t>
  </si>
  <si>
    <t>Tyrissa</t>
  </si>
  <si>
    <t>Tyrissa carola</t>
  </si>
  <si>
    <t>Gelechiidae sp. BOLD:AAH5062</t>
  </si>
  <si>
    <t>Zotu2520</t>
  </si>
  <si>
    <t>Papanteles</t>
  </si>
  <si>
    <t>Papanteles sp. Whitfield03</t>
  </si>
  <si>
    <t>Zotu2523</t>
  </si>
  <si>
    <t>Nymphalis egea</t>
  </si>
  <si>
    <t>Zotu2524</t>
  </si>
  <si>
    <t>Alloeonotus</t>
  </si>
  <si>
    <t>Alloeonotus sp. 'tenuis'</t>
  </si>
  <si>
    <t>Zotu2526</t>
  </si>
  <si>
    <t>Zotu2535</t>
  </si>
  <si>
    <t>Eriauchenius</t>
  </si>
  <si>
    <t>Eriauchenius sp. 1 HMW-2014</t>
  </si>
  <si>
    <t>Zotu2547</t>
  </si>
  <si>
    <t>Zotu2551</t>
  </si>
  <si>
    <t>Cryptophasa</t>
  </si>
  <si>
    <t>Cryptophasa zorodes</t>
  </si>
  <si>
    <t>Lichenaula sp. ANIC138</t>
  </si>
  <si>
    <t>Zotu2552</t>
  </si>
  <si>
    <t>Zotu2553</t>
  </si>
  <si>
    <t>Megaselia sp. BOLD-2016</t>
  </si>
  <si>
    <t>Zotu2558</t>
  </si>
  <si>
    <t>Zotu2560</t>
  </si>
  <si>
    <t>Zotu2565</t>
  </si>
  <si>
    <t>Helina</t>
  </si>
  <si>
    <t>Helina evecta</t>
  </si>
  <si>
    <t>Cristarmadillidium</t>
  </si>
  <si>
    <t>Cristarmadillidium myrmecophilum</t>
  </si>
  <si>
    <t>Zotu2567</t>
  </si>
  <si>
    <t>Zotu2574</t>
  </si>
  <si>
    <t>Pentatomidae sp. BIOUG21781-C11</t>
  </si>
  <si>
    <t>Dalpada</t>
  </si>
  <si>
    <t>Dalpada affinis</t>
  </si>
  <si>
    <t>Zotu2575</t>
  </si>
  <si>
    <t>Zotu2576</t>
  </si>
  <si>
    <t>Zotu2579</t>
  </si>
  <si>
    <t>Zotu2581</t>
  </si>
  <si>
    <t>Dismodicus alticeps</t>
  </si>
  <si>
    <t>Dismodicus</t>
  </si>
  <si>
    <t>Dismodicus decemoculatus</t>
  </si>
  <si>
    <t>Zotu2586</t>
  </si>
  <si>
    <t>Zotu2593</t>
  </si>
  <si>
    <t>Sciaridae sp. BOLD:ACI5210</t>
  </si>
  <si>
    <t>Zotu2600</t>
  </si>
  <si>
    <t>Aphelinidae sp. BOLD-2016</t>
  </si>
  <si>
    <t>Zotu2602</t>
  </si>
  <si>
    <t>status_genus</t>
  </si>
  <si>
    <t>native</t>
  </si>
  <si>
    <t>introduced</t>
  </si>
  <si>
    <t>trust</t>
  </si>
  <si>
    <t>no</t>
  </si>
  <si>
    <t>Blattodea</t>
  </si>
  <si>
    <t>Row Labels</t>
  </si>
  <si>
    <t>(blank)</t>
  </si>
  <si>
    <t>Grand Total</t>
  </si>
  <si>
    <t>Column Labels</t>
  </si>
  <si>
    <t>Count of status_genus</t>
  </si>
  <si>
    <t>id</t>
  </si>
  <si>
    <t>otu_num</t>
  </si>
  <si>
    <t>phylum</t>
  </si>
  <si>
    <t>class</t>
  </si>
  <si>
    <t>order</t>
  </si>
  <si>
    <t>family</t>
  </si>
  <si>
    <t>pct_identity</t>
  </si>
  <si>
    <t>status</t>
  </si>
  <si>
    <t>records</t>
  </si>
  <si>
    <t>records_ratio</t>
  </si>
  <si>
    <t>selected_level</t>
  </si>
  <si>
    <t>bin</t>
  </si>
  <si>
    <t>Arthropoda</t>
  </si>
  <si>
    <t>Collembola</t>
  </si>
  <si>
    <t>Entomobryomorpha</t>
  </si>
  <si>
    <t>Tomoceridae</t>
  </si>
  <si>
    <t>public</t>
  </si>
  <si>
    <t>BOLD:AAB5440|BOLD:AAB5437</t>
  </si>
  <si>
    <t>Zotu4</t>
  </si>
  <si>
    <t>Insecta</t>
  </si>
  <si>
    <t>Hemiptera</t>
  </si>
  <si>
    <t>Zotu6</t>
  </si>
  <si>
    <t>Arachnida</t>
  </si>
  <si>
    <t>Trombidiformes</t>
  </si>
  <si>
    <t>Zotu8</t>
  </si>
  <si>
    <t>Nabidae</t>
  </si>
  <si>
    <t>Zotu11</t>
  </si>
  <si>
    <t>Thysanoptera</t>
  </si>
  <si>
    <t>Thripidae</t>
  </si>
  <si>
    <t>BOLD:ACK3450</t>
  </si>
  <si>
    <t>Araneae</t>
  </si>
  <si>
    <t>Zotu14</t>
  </si>
  <si>
    <t>Diptera</t>
  </si>
  <si>
    <t>Hymenoptera</t>
  </si>
  <si>
    <t>Dryinidae</t>
  </si>
  <si>
    <t>Lepidoptera</t>
  </si>
  <si>
    <t>Pseudohemihyalea</t>
  </si>
  <si>
    <t>Pseudohemihyalea mansueta</t>
  </si>
  <si>
    <t>BOLD:AAD7608</t>
  </si>
  <si>
    <t>Psocodea</t>
  </si>
  <si>
    <t>Lepidopsocidae</t>
  </si>
  <si>
    <t>Lepidopsocus</t>
  </si>
  <si>
    <t>Cosipara</t>
  </si>
  <si>
    <t>Orthoptera</t>
  </si>
  <si>
    <t>Coleoptera</t>
  </si>
  <si>
    <t>Coccinellidae</t>
  </si>
  <si>
    <t>Aleyrodidae</t>
  </si>
  <si>
    <t>BOLD:ACV9436</t>
  </si>
  <si>
    <t>Malacostraca</t>
  </si>
  <si>
    <t>Amphipoda</t>
  </si>
  <si>
    <t>Brevitalitridae</t>
  </si>
  <si>
    <t>BOLD:AFT6971|BOLD:AAV0705|BOLD:AEE8083</t>
  </si>
  <si>
    <t>BOLD:AAV0705|BOLD:AEE8083|BOLD:AFT6971</t>
  </si>
  <si>
    <t>Caeciliusidae</t>
  </si>
  <si>
    <t>Anthocoridae</t>
  </si>
  <si>
    <t>Zotu38</t>
  </si>
  <si>
    <t>Forcipomyia</t>
  </si>
  <si>
    <t>Zotu43</t>
  </si>
  <si>
    <t>Dryadaulidae</t>
  </si>
  <si>
    <t>BOLD:AAF9987</t>
  </si>
  <si>
    <t>Zotu48</t>
  </si>
  <si>
    <t>Salticidae</t>
  </si>
  <si>
    <t>Zotu50</t>
  </si>
  <si>
    <t>Eulophidae</t>
  </si>
  <si>
    <t>Gracillariidae</t>
  </si>
  <si>
    <t>Cricotopus</t>
  </si>
  <si>
    <t>private</t>
  </si>
  <si>
    <t>Rhyzobius forestieri</t>
  </si>
  <si>
    <t>BOLD:AEB6472|BOLD:ACR2145|BOLD:ADI4834</t>
  </si>
  <si>
    <t>Pentatomidae</t>
  </si>
  <si>
    <t>Edessa</t>
  </si>
  <si>
    <t>Isopoda</t>
  </si>
  <si>
    <t>Philosciidae</t>
  </si>
  <si>
    <t>BOLD:ACB5935</t>
  </si>
  <si>
    <t>Tineidae</t>
  </si>
  <si>
    <t>BOLD:AAH4351</t>
  </si>
  <si>
    <t>Asota</t>
  </si>
  <si>
    <t>Formicidae</t>
  </si>
  <si>
    <t>BOLD:AAA3362|BOLD:AAA3359|BOLD:AAF8680|BOLD:ADH1163</t>
  </si>
  <si>
    <t>Zotu84</t>
  </si>
  <si>
    <t>Sarcoptiformes</t>
  </si>
  <si>
    <t>Gymnodamaeidae</t>
  </si>
  <si>
    <t>Elateridae</t>
  </si>
  <si>
    <t>Monocrepidius</t>
  </si>
  <si>
    <t>Monocrepidius exsul</t>
  </si>
  <si>
    <t>BOLD:AAH0171</t>
  </si>
  <si>
    <t>Zotu108</t>
  </si>
  <si>
    <t>Miridae</t>
  </si>
  <si>
    <t>Hyalopeplus</t>
  </si>
  <si>
    <t>Hyalopeplus pellucidus</t>
  </si>
  <si>
    <t>BOLD:AEE1892</t>
  </si>
  <si>
    <t>BOLD:AAD1543|BOLD:AFX2084|BOLD:AAD5885|BOLD:ABZ6427</t>
  </si>
  <si>
    <t>Lepidopsocus marmoratus</t>
  </si>
  <si>
    <t>BOLD:ADM8964</t>
  </si>
  <si>
    <t>BOLD:AAE8038|BOLD:AHB5256</t>
  </si>
  <si>
    <t>BOLD:ABY9353|BOLD:AEX4077</t>
  </si>
  <si>
    <t>Zotu125</t>
  </si>
  <si>
    <t>Phlaeothripidae</t>
  </si>
  <si>
    <t>Cydnidae</t>
  </si>
  <si>
    <t>Pangaeus</t>
  </si>
  <si>
    <t>Pangaeus piceatus</t>
  </si>
  <si>
    <t>BOLD:AEI4654</t>
  </si>
  <si>
    <t>Zotu139</t>
  </si>
  <si>
    <t>Oppiidae</t>
  </si>
  <si>
    <t>Curculionidae</t>
  </si>
  <si>
    <t>BOLD:ACB4178|BOLD:AEM9552|BOLD:AED2820|BOLD:ACB4177</t>
  </si>
  <si>
    <t>BOLD:AAD8276</t>
  </si>
  <si>
    <t>Zotu164</t>
  </si>
  <si>
    <t>BOLD:ACC5841</t>
  </si>
  <si>
    <t>Autostichidae</t>
  </si>
  <si>
    <t>BOLD:AAA9253</t>
  </si>
  <si>
    <t>Zotu180</t>
  </si>
  <si>
    <t>BOLD:AAC2499</t>
  </si>
  <si>
    <t>Zotu185</t>
  </si>
  <si>
    <t>Zotu186</t>
  </si>
  <si>
    <t>Zotu188</t>
  </si>
  <si>
    <t>Zotu191</t>
  </si>
  <si>
    <t>BOLD:AAB8206|BOLD:AHA7611</t>
  </si>
  <si>
    <t>Blattidae</t>
  </si>
  <si>
    <t>BOLD:AAE0979</t>
  </si>
  <si>
    <t>BOLD:AAK5680</t>
  </si>
  <si>
    <t>Mogoplistidae</t>
  </si>
  <si>
    <t>Anystidae</t>
  </si>
  <si>
    <t>Anystis</t>
  </si>
  <si>
    <t>Anystis baccarum</t>
  </si>
  <si>
    <t>BOLD:ABW5637</t>
  </si>
  <si>
    <t>Tenuipalpidae</t>
  </si>
  <si>
    <t>BOLD:AEH4125|BOLD:AEH4124</t>
  </si>
  <si>
    <t>BOLD:ADC5945</t>
  </si>
  <si>
    <t>Zotu230</t>
  </si>
  <si>
    <t>BOLD:AAD6087</t>
  </si>
  <si>
    <t>Porcellionidae</t>
  </si>
  <si>
    <t>BOLD:AAC3755</t>
  </si>
  <si>
    <t>BOLD:AAA3677|BOLD:ADT4862</t>
  </si>
  <si>
    <t>Zotu247</t>
  </si>
  <si>
    <t>Cryptochetidae</t>
  </si>
  <si>
    <t>Cryptochetum</t>
  </si>
  <si>
    <t>Cryptochetum iceryae</t>
  </si>
  <si>
    <t>BOLD:ACL6117</t>
  </si>
  <si>
    <t>BOLD:AAA4051</t>
  </si>
  <si>
    <t>Momphidae</t>
  </si>
  <si>
    <t>BOLD:AEZ2380</t>
  </si>
  <si>
    <t>Krakatauia</t>
  </si>
  <si>
    <t>Tettigoniidae</t>
  </si>
  <si>
    <t>Zotu273</t>
  </si>
  <si>
    <t>Zotu274</t>
  </si>
  <si>
    <t>Eupelmidae</t>
  </si>
  <si>
    <t>Zotu281</t>
  </si>
  <si>
    <t>Zotu284</t>
  </si>
  <si>
    <t>Zotu285</t>
  </si>
  <si>
    <t>Bdellidae</t>
  </si>
  <si>
    <t>Aphididae</t>
  </si>
  <si>
    <t>BOLD:AAC1372</t>
  </si>
  <si>
    <t>Zotu293</t>
  </si>
  <si>
    <t>Semicephalops</t>
  </si>
  <si>
    <t>Semicephalops ultimus</t>
  </si>
  <si>
    <t>BOLD:ACR0879</t>
  </si>
  <si>
    <t>Zotu295</t>
  </si>
  <si>
    <t>BOLD:AAF3900</t>
  </si>
  <si>
    <t>Symphypleona</t>
  </si>
  <si>
    <t>Zotu307</t>
  </si>
  <si>
    <t>Zotu314</t>
  </si>
  <si>
    <t>Elimaea nautica</t>
  </si>
  <si>
    <t>BOLD:ACA6035|BOLD:AFE0200|BOLD:AFE0198</t>
  </si>
  <si>
    <t>Brevipalpus azores</t>
  </si>
  <si>
    <t>BOLD:AHC5674</t>
  </si>
  <si>
    <t>BOLD:AAO4300</t>
  </si>
  <si>
    <t>Triozidae</t>
  </si>
  <si>
    <t>Desidae</t>
  </si>
  <si>
    <t>BOLD:AAV0329|BOLD:AER1319|BOLD:AER1312|BOLD:AER1318</t>
  </si>
  <si>
    <t>Zotu355</t>
  </si>
  <si>
    <t>Kalotermitidae</t>
  </si>
  <si>
    <t>Dalceridae</t>
  </si>
  <si>
    <t>Dalcera</t>
  </si>
  <si>
    <t>Dalcera abrasa</t>
  </si>
  <si>
    <t>BOLD:ACI6577</t>
  </si>
  <si>
    <t>Lauxaniidae</t>
  </si>
  <si>
    <t>Zotu372</t>
  </si>
  <si>
    <t>Elixothrips</t>
  </si>
  <si>
    <t>Elixothrips brevisetis</t>
  </si>
  <si>
    <t>BOLD:AAM8070</t>
  </si>
  <si>
    <t>Zotu374</t>
  </si>
  <si>
    <t>Zotu380</t>
  </si>
  <si>
    <t>BOLD:AAB6200</t>
  </si>
  <si>
    <t>Zotu403</t>
  </si>
  <si>
    <t>Chilopoda</t>
  </si>
  <si>
    <t>Lithobiomorpha</t>
  </si>
  <si>
    <t>Lithobiidae</t>
  </si>
  <si>
    <t>Zotu405</t>
  </si>
  <si>
    <t>Aethes</t>
  </si>
  <si>
    <t>Aethes bilbaensis</t>
  </si>
  <si>
    <t>BOLD:AAV9914</t>
  </si>
  <si>
    <t>Zotu414</t>
  </si>
  <si>
    <t>BOLD:AAB6945|BOLD:AEE2449|BOLD:AAB6943|BOLD:ABY7666</t>
  </si>
  <si>
    <t>BOLD:ACH4927</t>
  </si>
  <si>
    <t>BOLD:AAB5437|BOLD:AAB5440|BOLD:ACP3297</t>
  </si>
  <si>
    <t>Zotu446</t>
  </si>
  <si>
    <t>Zotu448</t>
  </si>
  <si>
    <t>Zotu456</t>
  </si>
  <si>
    <t>Tetragnathidae</t>
  </si>
  <si>
    <t>Zotu460</t>
  </si>
  <si>
    <t>Zotu463</t>
  </si>
  <si>
    <t>Zotu464</t>
  </si>
  <si>
    <t>BOLD:AAN0893</t>
  </si>
  <si>
    <t>Metriocnemus</t>
  </si>
  <si>
    <t>Hypopyra</t>
  </si>
  <si>
    <t>Hypopyra allardi</t>
  </si>
  <si>
    <t>BOLD:ADI0655</t>
  </si>
  <si>
    <t>BOLD:AAB5440</t>
  </si>
  <si>
    <t>Zotu494</t>
  </si>
  <si>
    <t>BOLD:AEH4124|BOLD:AEH4125</t>
  </si>
  <si>
    <t>BOLD:AAF7756</t>
  </si>
  <si>
    <t>Zotu505</t>
  </si>
  <si>
    <t>BOLD:AAJ1023</t>
  </si>
  <si>
    <t>Zotu514</t>
  </si>
  <si>
    <t>BOLD:AAD9965|BOLD:AAD9964</t>
  </si>
  <si>
    <t>BOLD:AFA9464</t>
  </si>
  <si>
    <t>BOLD:ADA8961</t>
  </si>
  <si>
    <t>BOLD:AAB5437|BOLD:ABZ1616|BOLD:AAB5440|BOLD:ACP3297</t>
  </si>
  <si>
    <t>Zotu536</t>
  </si>
  <si>
    <t>Tetranychidae</t>
  </si>
  <si>
    <t>Tetranychus ludeni</t>
  </si>
  <si>
    <t>BOLD:AED8447</t>
  </si>
  <si>
    <t>Diplopoda</t>
  </si>
  <si>
    <t>Polydesmida</t>
  </si>
  <si>
    <t>BOLD:AAG5070</t>
  </si>
  <si>
    <t>Zotu540</t>
  </si>
  <si>
    <t>BOLD:AAB0219</t>
  </si>
  <si>
    <t>Zotu545</t>
  </si>
  <si>
    <t>Zotu560</t>
  </si>
  <si>
    <t>Ectopsocidae</t>
  </si>
  <si>
    <t>Zotu573</t>
  </si>
  <si>
    <t>BOLD:AAB3064</t>
  </si>
  <si>
    <t>BOLD:ACB4178|BOLD:AEM9552|BOLD:AED2820</t>
  </si>
  <si>
    <t>Thomisidae</t>
  </si>
  <si>
    <t>Diaea</t>
  </si>
  <si>
    <t>Zotu585</t>
  </si>
  <si>
    <t>Zotu600</t>
  </si>
  <si>
    <t>Sarcophagidae</t>
  </si>
  <si>
    <t>Sarcophaga nearctica</t>
  </si>
  <si>
    <t>BOLD:AAH0008</t>
  </si>
  <si>
    <t>Blastobasidae</t>
  </si>
  <si>
    <t>Blastobasis kenya</t>
  </si>
  <si>
    <t>BOLD:AHC4098</t>
  </si>
  <si>
    <t>Diatenes</t>
  </si>
  <si>
    <t>Clastopteridae</t>
  </si>
  <si>
    <t>BOLD:AAN8391</t>
  </si>
  <si>
    <t>Zotu613</t>
  </si>
  <si>
    <t>Apidae</t>
  </si>
  <si>
    <t>BOLD:AAA2326</t>
  </si>
  <si>
    <t>BOLD:AAB7127</t>
  </si>
  <si>
    <t>Sciaridae</t>
  </si>
  <si>
    <t>Drosophila melanogaster</t>
  </si>
  <si>
    <t>BOLD:AAA1831</t>
  </si>
  <si>
    <t>Psychodidae</t>
  </si>
  <si>
    <t>BOLD:AAC0667</t>
  </si>
  <si>
    <t>BOLD:AEJ4921|BOLD:AHH6812|BOLD:ADE2966|BOLD:AEI7435|BOLD:ACP1124</t>
  </si>
  <si>
    <t>Zotu653</t>
  </si>
  <si>
    <t>BOLD:ACB4178|BOLD:AED2820|BOLD:AEM9552|BOLD:ACB4177</t>
  </si>
  <si>
    <t>Zotu656</t>
  </si>
  <si>
    <t>Zotu660</t>
  </si>
  <si>
    <t>BOLD:AAB7937</t>
  </si>
  <si>
    <t>Zotu669</t>
  </si>
  <si>
    <t>Eudonia</t>
  </si>
  <si>
    <t>Eudonia venosa</t>
  </si>
  <si>
    <t>BOLD:ACF1683</t>
  </si>
  <si>
    <t>Zotu682</t>
  </si>
  <si>
    <t>Mesostigmata</t>
  </si>
  <si>
    <t>Derbidae</t>
  </si>
  <si>
    <t>BOLD:ADL7363</t>
  </si>
  <si>
    <t>BOLD:AAB8210</t>
  </si>
  <si>
    <t>Neuroptera</t>
  </si>
  <si>
    <t>Hemerobiidae</t>
  </si>
  <si>
    <t>Micromus</t>
  </si>
  <si>
    <t>Micromus timidus</t>
  </si>
  <si>
    <t>BOLD:ADV8122</t>
  </si>
  <si>
    <t>Tetranychus lewisi</t>
  </si>
  <si>
    <t>BOLD:ACY2236</t>
  </si>
  <si>
    <t>Zotu698</t>
  </si>
  <si>
    <t>Macaria</t>
  </si>
  <si>
    <t>Thymoites</t>
  </si>
  <si>
    <t>Thymoites guanicae</t>
  </si>
  <si>
    <t>BOLD:ACF8701</t>
  </si>
  <si>
    <t>Zotu720</t>
  </si>
  <si>
    <t>Zotu751</t>
  </si>
  <si>
    <t>Eupodidae</t>
  </si>
  <si>
    <t>Zotu752</t>
  </si>
  <si>
    <t>Zotu759</t>
  </si>
  <si>
    <t>Zotu764</t>
  </si>
  <si>
    <t>Zotu769</t>
  </si>
  <si>
    <t>Zotu783</t>
  </si>
  <si>
    <t>Zotu786</t>
  </si>
  <si>
    <t>Zotu794</t>
  </si>
  <si>
    <t>BOLD:AAB5440|BOLD:ACP3297|BOLD:AAB5437|BOLD:ABZ1616</t>
  </si>
  <si>
    <t>Zotu803</t>
  </si>
  <si>
    <t>Zotu814</t>
  </si>
  <si>
    <t>Elimaea terminalis</t>
  </si>
  <si>
    <t>BOLD:ADB3392</t>
  </si>
  <si>
    <t>Lecithoceridae</t>
  </si>
  <si>
    <t>BOLD:AAE4983</t>
  </si>
  <si>
    <t>Zotu833</t>
  </si>
  <si>
    <t>Lycosidae</t>
  </si>
  <si>
    <t>Zotu845</t>
  </si>
  <si>
    <t>Zotu846</t>
  </si>
  <si>
    <t>Spirostreptida</t>
  </si>
  <si>
    <t>Cambalopsidae</t>
  </si>
  <si>
    <t>BOLD:AEG5171</t>
  </si>
  <si>
    <t>Zotu866</t>
  </si>
  <si>
    <t>Chrysopidae</t>
  </si>
  <si>
    <t>BOLD:AAG4259</t>
  </si>
  <si>
    <t>BOLD:AAA6022|BOLD:ACH5421</t>
  </si>
  <si>
    <t>Zotu887</t>
  </si>
  <si>
    <t>Zotu892</t>
  </si>
  <si>
    <t>Mantodea</t>
  </si>
  <si>
    <t>Mantidae</t>
  </si>
  <si>
    <t>Orthodera</t>
  </si>
  <si>
    <t>Orthodera ministralis</t>
  </si>
  <si>
    <t>BOLD:AAE5388</t>
  </si>
  <si>
    <t>BOLD:AAI0758</t>
  </si>
  <si>
    <t>BOLD:AAW7629</t>
  </si>
  <si>
    <t>Zotu913</t>
  </si>
  <si>
    <t>Limonia</t>
  </si>
  <si>
    <t>Limonia perkinsi</t>
  </si>
  <si>
    <t>BOLD:ACN4249</t>
  </si>
  <si>
    <t>Campsicnemus</t>
  </si>
  <si>
    <t>BOLD:ACN6573</t>
  </si>
  <si>
    <t>Zotu937</t>
  </si>
  <si>
    <t>Galumnidae</t>
  </si>
  <si>
    <t>Sphingidae</t>
  </si>
  <si>
    <t>Clanis</t>
  </si>
  <si>
    <t>BOLD:AEB9911</t>
  </si>
  <si>
    <t>Zotu956</t>
  </si>
  <si>
    <t>Nemopteridae</t>
  </si>
  <si>
    <t>Zotu963</t>
  </si>
  <si>
    <t>Zotu966</t>
  </si>
  <si>
    <t>Zotu974</t>
  </si>
  <si>
    <t>Poduromorpha</t>
  </si>
  <si>
    <t>Onychiuridae</t>
  </si>
  <si>
    <t>Zotu980</t>
  </si>
  <si>
    <t>Heteropeza</t>
  </si>
  <si>
    <t>BOLD:ACB8574|BOLD:AAA9474|BOLD:AGY0716|BOLD:AGE6095|BOLD:ACV4637</t>
  </si>
  <si>
    <t>Zotu1002</t>
  </si>
  <si>
    <t>Mymaridae</t>
  </si>
  <si>
    <t>Acmopolynema</t>
  </si>
  <si>
    <t>BOLD:AAB5437|BOLD:AAB5440|BOLD:ACP3297|BOLD:ABZ1616</t>
  </si>
  <si>
    <t>Zotu1025</t>
  </si>
  <si>
    <t>Psocidae</t>
  </si>
  <si>
    <t>Zotu1026</t>
  </si>
  <si>
    <t>Podocinidae</t>
  </si>
  <si>
    <t>Podocinum</t>
  </si>
  <si>
    <t>Podocinum sagax</t>
  </si>
  <si>
    <t>BOLD:ACK4638</t>
  </si>
  <si>
    <t>BOLD:AAN2528</t>
  </si>
  <si>
    <t>BOLD:AAU4413|BOLD:ACE7165</t>
  </si>
  <si>
    <t>BOLD:AAB5440|BOLD:ACP3297|BOLD:ABZ1616|BOLD:AAB5437</t>
  </si>
  <si>
    <t>Aphelinidae</t>
  </si>
  <si>
    <t>BOLD:ACB7900</t>
  </si>
  <si>
    <t>BOLD:ACJ1722|BOLD:ABZ1616|BOLD:AAB5440|BOLD:AAB5437|BOLD:ACP3297</t>
  </si>
  <si>
    <t>Dermaptera</t>
  </si>
  <si>
    <t>Anisolabididae</t>
  </si>
  <si>
    <t>BOLD:ACV7648</t>
  </si>
  <si>
    <t>BOLD:AAY0157</t>
  </si>
  <si>
    <t>Zotu1068</t>
  </si>
  <si>
    <t>BOLD:AAF3246|BOLD:ACN3017</t>
  </si>
  <si>
    <t>Philodromidae</t>
  </si>
  <si>
    <t>Zotu1085</t>
  </si>
  <si>
    <t>Phytoseiidae</t>
  </si>
  <si>
    <t>Zotu1096</t>
  </si>
  <si>
    <t>Zotu1114</t>
  </si>
  <si>
    <t>Nephus</t>
  </si>
  <si>
    <t>BOLD:AAZ3543</t>
  </si>
  <si>
    <t>Oxyopidae</t>
  </si>
  <si>
    <t>Scolopendromorpha</t>
  </si>
  <si>
    <t>Scolopendridae</t>
  </si>
  <si>
    <t>BOLD:ACB5151|BOLD:AEK6111|BOLD:ADL9913</t>
  </si>
  <si>
    <t>Zotu1148</t>
  </si>
  <si>
    <t>Rhyparochromidae</t>
  </si>
  <si>
    <t>Ligyrocoris</t>
  </si>
  <si>
    <t>Ligyrocoris litigiosus</t>
  </si>
  <si>
    <t>BOLD:AAZ2839</t>
  </si>
  <si>
    <t>BOLD:AAE5223</t>
  </si>
  <si>
    <t>Zotu1196</t>
  </si>
  <si>
    <t>Zotu1200</t>
  </si>
  <si>
    <t>Zotu1210</t>
  </si>
  <si>
    <t>Cunaxidae</t>
  </si>
  <si>
    <t>Zotu1225</t>
  </si>
  <si>
    <t>Macaria nundinata</t>
  </si>
  <si>
    <t>BOLD:AAA1494</t>
  </si>
  <si>
    <t>BOLD:AAA3359|BOLD:AAA3362|BOLD:AAF8680|BOLD:ADH1163</t>
  </si>
  <si>
    <t>Zotu1238</t>
  </si>
  <si>
    <t>Nanomantidae</t>
  </si>
  <si>
    <t>BOLD:AAA3070</t>
  </si>
  <si>
    <t>BOLD:AAC7887</t>
  </si>
  <si>
    <t>Zotu1260</t>
  </si>
  <si>
    <t>Dantona</t>
  </si>
  <si>
    <t>Zotu1267</t>
  </si>
  <si>
    <t>Ezishnola</t>
  </si>
  <si>
    <t>Ezishnola cretacea</t>
  </si>
  <si>
    <t>BOLD:AEL0515|BOLD:AEK4428</t>
  </si>
  <si>
    <t>BOLD:AAB3700</t>
  </si>
  <si>
    <t>Tydeidae</t>
  </si>
  <si>
    <t>Colletidae</t>
  </si>
  <si>
    <t>BOLD:AAC2832</t>
  </si>
  <si>
    <t>Zotu1287</t>
  </si>
  <si>
    <t>Zotu1289</t>
  </si>
  <si>
    <t>Zotu1292</t>
  </si>
  <si>
    <t>Zotu1297</t>
  </si>
  <si>
    <t>Zotu1301</t>
  </si>
  <si>
    <t>Phanerotomella</t>
  </si>
  <si>
    <t>BOLD:ABZ7822</t>
  </si>
  <si>
    <t>Zotu1320</t>
  </si>
  <si>
    <t>Zotu1321</t>
  </si>
  <si>
    <t>Zotu1334</t>
  </si>
  <si>
    <t>Sejidae</t>
  </si>
  <si>
    <t>Pseudolycoriella</t>
  </si>
  <si>
    <t>Pseudolycoriella cavatica</t>
  </si>
  <si>
    <t>BOLD:AEN9321</t>
  </si>
  <si>
    <t>Zotu1351</t>
  </si>
  <si>
    <t>Zotu1374</t>
  </si>
  <si>
    <t>Zotu1379</t>
  </si>
  <si>
    <t>Zotu1385</t>
  </si>
  <si>
    <t>Zotu1388</t>
  </si>
  <si>
    <t>Zotu1390</t>
  </si>
  <si>
    <t>Nitidulidae</t>
  </si>
  <si>
    <t>BOLD:AAO2301</t>
  </si>
  <si>
    <t>Zotu1404</t>
  </si>
  <si>
    <t>Zotu1407</t>
  </si>
  <si>
    <t>BOLD:AAM8073</t>
  </si>
  <si>
    <t>Zotu1418</t>
  </si>
  <si>
    <t>Dantona stillata</t>
  </si>
  <si>
    <t>BOLD:AAC0739</t>
  </si>
  <si>
    <t>Zotu1455</t>
  </si>
  <si>
    <t>Bombyliidae</t>
  </si>
  <si>
    <t>Maurilia</t>
  </si>
  <si>
    <t>Maurilia arcuata</t>
  </si>
  <si>
    <t>BOLD:AAE1547</t>
  </si>
  <si>
    <t>Julida</t>
  </si>
  <si>
    <t>Cylindroiulus latestriatus</t>
  </si>
  <si>
    <t>BOLD:AAM7938|BOLD:AEG0942|BOLD:AAM7943</t>
  </si>
  <si>
    <t>BOLD:AAV0329|BOLD:AER1312|BOLD:AER1318|BOLD:AER1319</t>
  </si>
  <si>
    <t>BOLD:AAZ3581</t>
  </si>
  <si>
    <t>Zotu1501</t>
  </si>
  <si>
    <t>Zotu1504</t>
  </si>
  <si>
    <t>Amblyseius</t>
  </si>
  <si>
    <t>Amblyseius herbicolus</t>
  </si>
  <si>
    <t>BOLD:ACP6340</t>
  </si>
  <si>
    <t>BOLD:ACH6516</t>
  </si>
  <si>
    <t>Zotu1523</t>
  </si>
  <si>
    <t>Zotu1528</t>
  </si>
  <si>
    <t>BOLD:AAI9477</t>
  </si>
  <si>
    <t>Halmus</t>
  </si>
  <si>
    <t>Halmus chalybeus</t>
  </si>
  <si>
    <t>BOLD:ACK1289</t>
  </si>
  <si>
    <t>Calliphora latifrons</t>
  </si>
  <si>
    <t>BOLD:AAJ0837</t>
  </si>
  <si>
    <t>BOLD:AAA6713|BOLD:AFR4494</t>
  </si>
  <si>
    <t>BOLD:AAJ3068</t>
  </si>
  <si>
    <t>Zotu1547</t>
  </si>
  <si>
    <t>Zotu1549</t>
  </si>
  <si>
    <t>BOLD:AAA2295</t>
  </si>
  <si>
    <t>Megachilidae</t>
  </si>
  <si>
    <t>BOLD:ABZ0288</t>
  </si>
  <si>
    <t>BOLD:AEH9979|BOLD:AEG2601|BOLD:AGO4411</t>
  </si>
  <si>
    <t>Zotu1559</t>
  </si>
  <si>
    <t>BOLD:AAA3359|BOLD:AAN2528|BOLD:AAA3362|BOLD:AAF8680|BOLD:ADH1163</t>
  </si>
  <si>
    <t>BOLD:AAA4751</t>
  </si>
  <si>
    <t>Zotu1568</t>
  </si>
  <si>
    <t>Zotu1572</t>
  </si>
  <si>
    <t>Pasiphila</t>
  </si>
  <si>
    <t>Pasiphila debiliata</t>
  </si>
  <si>
    <t>BOLD:AAE7106</t>
  </si>
  <si>
    <t>Lepidocyrtidae</t>
  </si>
  <si>
    <t>Ephydridae</t>
  </si>
  <si>
    <t>BOLD:ACE5308</t>
  </si>
  <si>
    <t>Carposina gracillima</t>
  </si>
  <si>
    <t>BOLD:ADD9038</t>
  </si>
  <si>
    <t>Zotu1603</t>
  </si>
  <si>
    <t>BOLD:AAV1727</t>
  </si>
  <si>
    <t>Manoba brunellus</t>
  </si>
  <si>
    <t>BOLD:AAM0661</t>
  </si>
  <si>
    <t>Zotu1620</t>
  </si>
  <si>
    <t>BOLD:ACH2718|BOLD:AAO2068</t>
  </si>
  <si>
    <t>Zotu1637</t>
  </si>
  <si>
    <t>Zotu1641</t>
  </si>
  <si>
    <t>BOLD:AAC7809</t>
  </si>
  <si>
    <t>Zotu1665</t>
  </si>
  <si>
    <t>BOLD:AAE8038</t>
  </si>
  <si>
    <t>Zotu1676</t>
  </si>
  <si>
    <t>BOLD:AAC6431|BOLD:ACH6516</t>
  </si>
  <si>
    <t>BOLD:ADK3799|BOLD:ADK3798</t>
  </si>
  <si>
    <t>Zotu1691</t>
  </si>
  <si>
    <t>Zotu1699</t>
  </si>
  <si>
    <t>Zotu1737</t>
  </si>
  <si>
    <t>Uloboridae</t>
  </si>
  <si>
    <t>BOLD:AAA3677</t>
  </si>
  <si>
    <t>Orthocladius</t>
  </si>
  <si>
    <t>Zotu1776</t>
  </si>
  <si>
    <t>BOLD:ADK3799</t>
  </si>
  <si>
    <t>Zotu1794</t>
  </si>
  <si>
    <t>Zotu1800</t>
  </si>
  <si>
    <t>Mycetophagidae</t>
  </si>
  <si>
    <t>BOLD:ACN7016</t>
  </si>
  <si>
    <t>Zotu1814</t>
  </si>
  <si>
    <t>BOLD:AAA3674|BOLD:AGK2223|BOLD:ACI1331|BOLD:ADT4862</t>
  </si>
  <si>
    <t>Zotu1819</t>
  </si>
  <si>
    <t>Zotu1825</t>
  </si>
  <si>
    <t>Ostracoda</t>
  </si>
  <si>
    <t>Podocopida</t>
  </si>
  <si>
    <t>Cyprididae</t>
  </si>
  <si>
    <t>BOLD:ABV4271|BOLD:AAV0673|BOLD:ACC5217</t>
  </si>
  <si>
    <t>Trichoceridae</t>
  </si>
  <si>
    <t>Trichocera</t>
  </si>
  <si>
    <t>Zotu1833</t>
  </si>
  <si>
    <t>BOLD:ACM3340</t>
  </si>
  <si>
    <t>Scaptomyza adusta</t>
  </si>
  <si>
    <t>BOLD:AAG8493</t>
  </si>
  <si>
    <t>Zotu1868</t>
  </si>
  <si>
    <t>Lixophaga</t>
  </si>
  <si>
    <t>BOLD:AAZ3232</t>
  </si>
  <si>
    <t>BOLD:ADJ8541</t>
  </si>
  <si>
    <t>Depressariidae</t>
  </si>
  <si>
    <t>Psilocorsis</t>
  </si>
  <si>
    <t>Zotu1896</t>
  </si>
  <si>
    <t>Blaniulidae</t>
  </si>
  <si>
    <t>BOLD:AAN4174</t>
  </si>
  <si>
    <t>Tropiduchidae</t>
  </si>
  <si>
    <t>BOLD:ACN6147|BOLD:ACB8003|BOLD:ADV7407|BOLD:ADT3953|BOLD:AHG0460</t>
  </si>
  <si>
    <t>Zotu1910</t>
  </si>
  <si>
    <t>BOLD:ADJ5932</t>
  </si>
  <si>
    <t>Zotu1923</t>
  </si>
  <si>
    <t>Zotu1930</t>
  </si>
  <si>
    <t>Zotu1936</t>
  </si>
  <si>
    <t>Zotu1937</t>
  </si>
  <si>
    <t>Zotu1949</t>
  </si>
  <si>
    <t>Zotu1956</t>
  </si>
  <si>
    <t>Zotu1957</t>
  </si>
  <si>
    <t>Pristomerus vulnerator</t>
  </si>
  <si>
    <t>BOLD:ACR5206|BOLD:AFR8699|BOLD:ADV2562|BOLD:AHH8749</t>
  </si>
  <si>
    <t>BOLD:ACN6061|BOLD:AAH7726|BOLD:ACF3219|BOLD:ACF3217|BOLD:AAB3204|BOLD:ADU8916</t>
  </si>
  <si>
    <t>Zotu1971</t>
  </si>
  <si>
    <t>Zotu1972</t>
  </si>
  <si>
    <t>Flatidae</t>
  </si>
  <si>
    <t>BOLD:ABW7672</t>
  </si>
  <si>
    <t>BOLD:AAD7495</t>
  </si>
  <si>
    <t>Carabidae</t>
  </si>
  <si>
    <t>Mecyclothorax konanus</t>
  </si>
  <si>
    <t>BOLD:ABW2846</t>
  </si>
  <si>
    <t>Zotu2001</t>
  </si>
  <si>
    <t>Argina astraea</t>
  </si>
  <si>
    <t>Zotu2009</t>
  </si>
  <si>
    <t>Zotu2020</t>
  </si>
  <si>
    <t>Zotu2022</t>
  </si>
  <si>
    <t>Zotu2023</t>
  </si>
  <si>
    <t>Zotu2028</t>
  </si>
  <si>
    <t>Zotu2035</t>
  </si>
  <si>
    <t>BOLD:AAG2025</t>
  </si>
  <si>
    <t>Badumna insignis</t>
  </si>
  <si>
    <t>BOLD:AAZ4228|BOLD:ACI6073</t>
  </si>
  <si>
    <t>Zotu2058</t>
  </si>
  <si>
    <t>Zotu2059</t>
  </si>
  <si>
    <t>Zotu2062</t>
  </si>
  <si>
    <t>Zotu2070</t>
  </si>
  <si>
    <t>Zotu2093</t>
  </si>
  <si>
    <t>Echmepteryx</t>
  </si>
  <si>
    <t>Echmepteryx unicolor</t>
  </si>
  <si>
    <t>BOLD:ACN6016</t>
  </si>
  <si>
    <t>Zotu2099</t>
  </si>
  <si>
    <t>Apterothrips</t>
  </si>
  <si>
    <t>Apterothrips secticornis</t>
  </si>
  <si>
    <t>BOLD:ADW8067</t>
  </si>
  <si>
    <t>Zotu2106</t>
  </si>
  <si>
    <t>BOLD:AAA3820|BOLD:ACF1130|BOLD:ABZ2319|BOLD:ACF3134|BOLD:ABZ0960</t>
  </si>
  <si>
    <t>Zotu2132</t>
  </si>
  <si>
    <t>Triophytydeus</t>
  </si>
  <si>
    <t>Sybra</t>
  </si>
  <si>
    <t>Zotu2138</t>
  </si>
  <si>
    <t>BOLD:ADC7847</t>
  </si>
  <si>
    <t>Zotu2161</t>
  </si>
  <si>
    <t>BOLD:ACN6147|BOLD:ACB8003|BOLD:ADV7407|BOLD:ADT3953</t>
  </si>
  <si>
    <t>Araneidae</t>
  </si>
  <si>
    <t>Trichoptera</t>
  </si>
  <si>
    <t>Hydropsychidae</t>
  </si>
  <si>
    <t>BOLD:AAA5695</t>
  </si>
  <si>
    <t>Zotu2173</t>
  </si>
  <si>
    <t>Stenocaecilius</t>
  </si>
  <si>
    <t>Stenocaecilius quercus</t>
  </si>
  <si>
    <t>BOLD:AAW8454</t>
  </si>
  <si>
    <t>Saturniidae</t>
  </si>
  <si>
    <t>BOLD:AAE0951</t>
  </si>
  <si>
    <t>Argiope</t>
  </si>
  <si>
    <t>Argiope argentata</t>
  </si>
  <si>
    <t>BOLD:AAJ8263</t>
  </si>
  <si>
    <t>BOLD:ADF3292</t>
  </si>
  <si>
    <t>BOLD:AAI0410</t>
  </si>
  <si>
    <t>Pimpla</t>
  </si>
  <si>
    <t>Pimpla punicipes</t>
  </si>
  <si>
    <t>BOLD:ABA2717</t>
  </si>
  <si>
    <t>Zotu2213</t>
  </si>
  <si>
    <t>Micromus usingeri</t>
  </si>
  <si>
    <t>BOLD:AGB4183</t>
  </si>
  <si>
    <t>Ectobiidae</t>
  </si>
  <si>
    <t>Zotu2228</t>
  </si>
  <si>
    <t>Wuliphantes</t>
  </si>
  <si>
    <t>Wuliphantes tongluensis</t>
  </si>
  <si>
    <t>BOLD:ACX8970</t>
  </si>
  <si>
    <t>Zotu2234</t>
  </si>
  <si>
    <t>Zotu2251</t>
  </si>
  <si>
    <t>Dolichogenidea</t>
  </si>
  <si>
    <t>Dolichogenidea lacteicolor</t>
  </si>
  <si>
    <t>BOLD:ACU2765|BOLD:ACU3184</t>
  </si>
  <si>
    <t>Zotu2265</t>
  </si>
  <si>
    <t>Corydiidae</t>
  </si>
  <si>
    <t>Dicranomyia</t>
  </si>
  <si>
    <t>Acnemia</t>
  </si>
  <si>
    <t>Zotu2277</t>
  </si>
  <si>
    <t>BOLD:ADF5462</t>
  </si>
  <si>
    <t>Zotu2297</t>
  </si>
  <si>
    <t>Zotu2298</t>
  </si>
  <si>
    <t>Pandemis</t>
  </si>
  <si>
    <t>Zotu2304</t>
  </si>
  <si>
    <t>Scotorythra</t>
  </si>
  <si>
    <t>Eupithecia monticolans</t>
  </si>
  <si>
    <t>BOLD:AEU1437</t>
  </si>
  <si>
    <t>BOLD:ACF3217|BOLD:AAB3204|BOLD:ADU8916|BOLD:AAH7726</t>
  </si>
  <si>
    <t>Zotu2334</t>
  </si>
  <si>
    <t>Glyptapanteles carlossarmientoi</t>
  </si>
  <si>
    <t>BOLD:AAA4781</t>
  </si>
  <si>
    <t>Zotu2338</t>
  </si>
  <si>
    <t>Zotu2344</t>
  </si>
  <si>
    <t>BOLD:AAE2497</t>
  </si>
  <si>
    <t>Zotu2356</t>
  </si>
  <si>
    <t>Anthribidae</t>
  </si>
  <si>
    <t>BOLD:AAZ2032|BOLD:ADV1893</t>
  </si>
  <si>
    <t>Zotu2364</t>
  </si>
  <si>
    <t>Zotu2365</t>
  </si>
  <si>
    <t>Zotu2374</t>
  </si>
  <si>
    <t>BOLD:AAB7997|BOLD:AAL5716|BOLD:ACT4358|BOLD:AAP4794|BOLD:AGH7335|BOLD:AHC5548|BOLD:AAB8024|BOLD:ACW4646</t>
  </si>
  <si>
    <t>Chilocyrtus</t>
  </si>
  <si>
    <t>Trentepohlia</t>
  </si>
  <si>
    <t>Polleniidae</t>
  </si>
  <si>
    <t>BOLD:AAG6745</t>
  </si>
  <si>
    <t>BOLD:AAB6409</t>
  </si>
  <si>
    <t>Zotu2413</t>
  </si>
  <si>
    <t>Frankliniella</t>
  </si>
  <si>
    <t>Zotu2420</t>
  </si>
  <si>
    <t>Zotu2435</t>
  </si>
  <si>
    <t>Zotu2443</t>
  </si>
  <si>
    <t>Zotu2447</t>
  </si>
  <si>
    <t>Zotu2476</t>
  </si>
  <si>
    <t>Neomymar</t>
  </si>
  <si>
    <t>Orthomecyna</t>
  </si>
  <si>
    <t>Orthomecyna exigua</t>
  </si>
  <si>
    <t>BOLD:ADZ8875</t>
  </si>
  <si>
    <t>Zotu2492</t>
  </si>
  <si>
    <t>Zotu2504</t>
  </si>
  <si>
    <t>Zotu2505</t>
  </si>
  <si>
    <t>Stigmaeidae</t>
  </si>
  <si>
    <t>Osmia nearctica</t>
  </si>
  <si>
    <t>BOLD:AAD4181</t>
  </si>
  <si>
    <t>Ceratitis</t>
  </si>
  <si>
    <t>Zotu2518</t>
  </si>
  <si>
    <t>Didymoctenia</t>
  </si>
  <si>
    <t>Arenivaga genitalis</t>
  </si>
  <si>
    <t>BOLD:ADV7008</t>
  </si>
  <si>
    <t>Zotu2555</t>
  </si>
  <si>
    <t>Zotu2572</t>
  </si>
  <si>
    <t>Citioica</t>
  </si>
  <si>
    <t>unknown</t>
  </si>
  <si>
    <t>unkown</t>
  </si>
  <si>
    <t>sven_trust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</si>
</sst>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2" fillId="3" borderId="0" xfId="2"/>
    <xf numFmtId="0" fontId="3" fillId="4" borderId="0" xfId="3"/>
    <xf numFmtId="0" fontId="1" fillId="2" borderId="0" xfId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ven9r" refreshedDate="46014.927108564814" createdVersion="8" refreshedVersion="8" minRefreshableVersion="3" recordCount="857" xr:uid="{FDDE7ACA-42B6-C24D-9E20-69D40EC34E99}">
  <cacheSource type="worksheet">
    <worksheetSource ref="A1:K1048576" sheet="taxonomy"/>
  </cacheSource>
  <cacheFields count="10">
    <cacheField name="zotu_id" numFmtId="0">
      <sharedItems containsBlank="1"/>
    </cacheField>
    <cacheField name="zotu_num" numFmtId="0">
      <sharedItems containsString="0" containsBlank="1" containsNumber="1" containsInteger="1" minValue="1" maxValue="2602"/>
    </cacheField>
    <cacheField name="perc_id" numFmtId="0">
      <sharedItems containsString="0" containsBlank="1" containsNumber="1" minValue="91.010999999999996" maxValue="100"/>
    </cacheField>
    <cacheField name="id_diff" numFmtId="0">
      <sharedItems containsString="0" containsBlank="1" containsNumber="1" minValue="0" maxValue="100"/>
    </cacheField>
    <cacheField name="same_family" numFmtId="0">
      <sharedItems containsBlank="1"/>
    </cacheField>
    <cacheField name="same_genus" numFmtId="0">
      <sharedItems containsBlank="1"/>
    </cacheField>
    <cacheField name="same_species" numFmtId="0">
      <sharedItems containsBlank="1"/>
    </cacheField>
    <cacheField name="genus" numFmtId="0">
      <sharedItems containsBlank="1"/>
    </cacheField>
    <cacheField name="species" numFmtId="0">
      <sharedItems containsBlank="1" count="444">
        <s v="Abstrigonidium chloropodum"/>
        <s v="Acalitus vaccinii"/>
        <s v="Acanthodiaptomus pacificus"/>
        <s v="Acariformes sp."/>
        <s v="Achoria inopina"/>
        <s v="Aetana lambir"/>
        <s v="Afronothrus sp. AD453"/>
        <s v="Agapetus fuscipes"/>
        <s v="Agriades orbitulus"/>
        <s v="Agrius convolvuli"/>
        <s v="Aiteta damnipennis"/>
        <s v="Aleurodicinae sp."/>
        <s v="Alloeonotus sp. 'tenuis'"/>
        <s v="Allograpta obliqua"/>
        <s v="Amiota cultella"/>
        <s v="Aname mellosa"/>
        <s v="Anaxipha litarena"/>
        <s v="Anaxiphomorpha serratiprotuberus"/>
        <s v="Anopheles medialis"/>
        <s v="Anoplolepis gracilipes"/>
        <s v="Antiblemma sp. BioLep17"/>
        <s v="Anystidae sp. BOLD:ABW5637"/>
        <s v="Aphidius areolatus"/>
        <s v="Aphidius colemani"/>
        <s v="Aphis aurantii"/>
        <s v="Aphis craccivora"/>
        <s v="Aphis gossypii"/>
        <s v="Aphis nerii"/>
        <s v="Aphytis chrysomphali"/>
        <s v="Apis mellifera"/>
        <s v="Apohyale media"/>
        <s v="Araecerus sp. sc_00811"/>
        <s v="Araneae sp. AS-20175"/>
        <s v="Arcitalitrus sp. 6 HL-2023a"/>
        <s v="Arenivaga apacha"/>
        <s v="Argina astrea"/>
        <s v="Argynnis pandora"/>
        <s v="Ascidae sp."/>
        <s v="Aspidiotes cottyi"/>
        <s v="Athalia paradoxa"/>
        <s v="Athetis thoracica"/>
        <s v="Austrocentrus griseus"/>
        <s v="Azelia nebulosa"/>
        <s v="Bactra verutana"/>
        <s v="Bactrocera dorsalis"/>
        <s v="Badumna longinqua"/>
        <s v="Badumna sp."/>
        <s v="Balta scripta"/>
        <s v="Barea hylodroma"/>
        <s v="Bembidion bipunctatum"/>
        <s v="Bemisia tabaci"/>
        <s v="Blastobasis sp. KLM Lep 02547"/>
        <s v="Blattodea environmental sample"/>
        <s v="Bradysia radicum"/>
        <s v="Brasema bruchivora"/>
        <s v="Brasema sp. G0052"/>
        <s v="Brevipalpus californicus"/>
        <s v="Brevipalpus papayensis"/>
        <s v="Brochymena quadripustulata"/>
        <s v="Burmoniscus kathmandius"/>
        <s v="Caecilius sp."/>
        <s v="Caeciliusidae sp. BOLD:ABA6163"/>
        <s v="Callimerus sp. 1 NLG-2013"/>
        <s v="Calocalanus contractus"/>
        <s v="Calocoris barberi"/>
        <s v="Camerobiidae sp. BIOUG20299-D11"/>
        <s v="Campylaspis sulcata"/>
        <s v="Cardiodactylus lucus"/>
        <s v="Caridea sp. LPdivOTU48"/>
        <s v="Carposina sp. BOLD:AAG8486"/>
        <s v="Carposina telesia"/>
        <s v="Cecidomyiidae sp."/>
        <s v="Cecidomyiidae sp. BOLD:ACC3187"/>
        <s v="Cecidomyiidae sp. BOLD:ACG6138"/>
        <s v="Cecidomyiidae sp. BOLD:ACK8200"/>
        <s v="Centruroides fulvipes"/>
        <s v="Ceracris kiangsu"/>
        <s v="Ceriodaphnia cf. rigaudi 2 MEG-2008"/>
        <s v="Cerodontha bimaculata"/>
        <s v="Cheilomenes sexmaculata"/>
        <s v="Cheloninae sp. BIOUG02447-F09"/>
        <s v="Cheumatopsyche analis"/>
        <s v="Chilopoda sp. CHIL-BLAN41"/>
        <s v="Chironomidae sp. BOLD:ACA4805"/>
        <s v="Chironomidae sp. LA_LSLZ7_108"/>
        <s v="Chironominae environmental sample"/>
        <s v="Chloroclystis sp."/>
        <s v="Chloropidae sp. sc_05451"/>
        <s v="Chloropidae sp. sc_10708"/>
        <s v="Chrysomya rufifacies"/>
        <s v="Chthoniidae sp. Biologic-PSEU083"/>
        <s v="Cicadellidae sp. sc_01510"/>
        <s v="Cinara balachowskyi"/>
        <s v="Clastoptera xanthocephala"/>
        <s v="Clausocalanus furcatus"/>
        <s v="Cleora sublunaria"/>
        <s v="Coccinellidae sp."/>
        <s v="Coccinellidae sp. BOLD:AAN6213"/>
        <s v="Coenipeta damonia"/>
        <s v="Coleoptera sp."/>
        <s v="Colletes fulgidus"/>
        <s v="Conoderus sp. BOLD:AAM7703"/>
        <s v="Conomelus anceps"/>
        <s v="Conosia irrorata"/>
        <s v="Copidothrips octarticulatus"/>
        <s v="Corynoneura sp."/>
        <s v="Cosmocomoidea morrilli"/>
        <s v="Cosmopterigidae sp. NIBGE MOT-03423"/>
        <s v="Cottarellicaris sp. 1 LV-2020"/>
        <s v="Cressida cressida"/>
        <s v="Cryptachaea blattea"/>
        <s v="Cryptachaea veruculata"/>
        <s v="Culex impudicus"/>
        <s v="Culex pipiens"/>
        <s v="Curculionidae sp. INDOBIOSYS-CCDB25942-E07"/>
        <s v="Curculionidae sp. INDOBIOSYS-CCDB30377-F11"/>
        <s v="Cypridopsis sp. Biologic-OSTR011"/>
        <s v="Dalpada affinis"/>
        <s v="Dasyopa sp. BOLD:AAH4183"/>
        <s v="Dasypogon diadema"/>
        <s v="Delphacidae sp."/>
        <s v="Derambila liosceles"/>
        <s v="Diadegma blackburni"/>
        <s v="Diapriidae sp. BIOUG23536-H02"/>
        <s v="Diatraea saccharalis"/>
        <s v="Dichomeris acuminatus"/>
        <s v="Dictyna sp. MH1"/>
        <s v="Diptera sp. BOLD:ACC5969"/>
        <s v="Discobola annulata"/>
        <s v="Dismodicus decemoculatus"/>
        <s v="Dolerus apricus"/>
        <s v="Dolerus asper"/>
        <s v="Dolerus stygius"/>
        <s v="Dolichopodidae sp."/>
        <s v="Dolichopodidae sp. BOLD:AAM6780"/>
        <s v="Dolichopodidae sp. sc_02791"/>
        <s v="Dolichopodidae sp. sc_07560"/>
        <s v="Drosophila albomicans"/>
        <s v="Drosophila diamphidiopoda"/>
        <s v="Drosophila hypocausta"/>
        <s v="Drosophila mettleri"/>
        <s v="Drosophila simulans"/>
        <s v="Drosophila suzukii"/>
        <s v="Drosophila trichaetosa"/>
        <s v="Dryadaula terpsichorella"/>
        <s v="Dryinidae sp. BOLD-2016"/>
        <s v="Ectinosoma melaniceps"/>
        <s v="Elateroides dermestoides"/>
        <s v="Elimaea fallax"/>
        <s v="Elimaea sp. SM-2011"/>
        <s v="Encarsia sp. BOLD-2016"/>
        <s v="Endoclita nodus"/>
        <s v="Enlopholepis mediolinea"/>
        <s v="Ensipia sp. BioLep02"/>
        <s v="Entomobrya albocincta"/>
        <s v="Entomobrya nivalis"/>
        <s v="Eocyzicus taiwanensis"/>
        <s v="Erechthias zebrina"/>
        <s v="Eriauchenius sp. 1 HMW-2014"/>
        <s v="Euborellia arcanum"/>
        <s v="Eucalliphora latifrons"/>
        <s v="Eucelatoria sp. Wood13"/>
        <s v="Eupodidae sp. BOLD:AAW0399"/>
        <s v="Eurystylus coelestialium"/>
        <s v="Folsomotoma octooculata"/>
        <s v="Forelius sp. BKH-009"/>
        <s v="Gammarus cf. parechiniformis"/>
        <s v="Gammarus crinicornis"/>
        <s v="Gammarus nekkensis"/>
        <s v="Gelechiidae sp. BOLD:AAH5062"/>
        <s v="Ghauriana sinensis"/>
        <s v="Glaphyria sesquistrialis"/>
        <s v="Glyphiulus granulatus"/>
        <s v="Glyptapanteles sp. BOLD-2016"/>
        <s v="Gnaptor boryi"/>
        <s v="Gonatocerus sp. BIOUG02537-F06"/>
        <s v="Gonatopus sp. BOLD-2016"/>
        <s v="Graellsia isabellae"/>
        <s v="Grammodes bifasciata"/>
        <s v="Gryllidae sp. sc_04139"/>
        <s v="Haptosquilla sp. g1 SP-2020"/>
        <s v="Hednota dichospila"/>
        <s v="Heliothrips haemorrhoidalis"/>
        <s v="Hemerobiidae sp. BOLD:ADU2276"/>
        <s v="Hemibela sp. ANIC21"/>
        <s v="Hemiptera sp. CNKOG015-14"/>
        <s v="Herrmannella hoonsooi"/>
        <s v="Heterometrus thorellii"/>
        <s v="Hexanauplia sp."/>
        <s v="Homoeoxipha obliterata"/>
        <s v="Hyalyris coeno"/>
        <s v="Hydroptilidae sp. MPBZT009-09"/>
        <s v="Hyperlasion sp. DNAS-414-5XJQ"/>
        <s v="Hysteroneura setariae"/>
        <s v="Ichneumoninae sp. BOLD:AAH1974"/>
        <s v="Idotea ochotensis"/>
        <s v="Kallitaxila sinica"/>
        <s v="Larentiinae sp. INDOBIOSYS-CCDB27010-A10"/>
        <s v="Lepidocyrtus cyaneus"/>
        <s v="Lepidopsocidae sp. BOLD:ACC1778"/>
        <s v="Lepidopsocidae sp. sc_06378"/>
        <s v="Lepidopsocidae sp. sc_06412"/>
        <s v="Lepidopsocidae sp. sc_06783"/>
        <s v="Lepidopsocidae sp. sc_08283"/>
        <s v="Lepidopsocidae sp. sc_08437"/>
        <s v="Lepidoptera sp. BOLD:AAA0143"/>
        <s v="Lepidoptera sp. BOLD:AAA0285"/>
        <s v="Lepidoptera sp. BOLD:AAA0891"/>
        <s v="Lepidoptera sp. BOLD:AAA2906"/>
        <s v="Lepidoptera sp. BOLD:AAC0739"/>
        <s v="Lepidoptera sp. BOLD:AAD2059"/>
        <s v="Lepidoptera sp. BOLD:AAD4724"/>
        <s v="Lepidostoma pratetaiense"/>
        <s v="Lepidostoma venulare"/>
        <s v="Leptonema sp. G BG-2018"/>
        <s v="Leptonetela shuang"/>
        <s v="Leucauge celebesiana"/>
        <s v="Lichenaula sp. ANIC138"/>
        <s v="Lichenaula sp. ANIC80"/>
        <s v="Limnospila albifrons"/>
        <s v="Limoniidae sp. sc_00082"/>
        <s v="Litargus vestitus"/>
        <s v="Lithodes nintokuae"/>
        <s v="Longitarsus albineus"/>
        <s v="Longitarsus strigicollis"/>
        <s v="Lygomusotima stria"/>
        <s v="Macracantha hasselti"/>
        <s v="Macrostomus sp. 4 BKC-2015"/>
        <s v="Mallada yangae"/>
        <s v="Mantidae gen. mantisJanzen01 sp. Janzen01"/>
        <s v="Medetera fumida"/>
        <s v="Megaselia perfusca"/>
        <s v="Melandryidae sp. BOLD-2016"/>
        <s v="Melyridae sp. BIOUG02377-F01"/>
        <s v="Melyridae sp. BIOUG05385-F01"/>
        <s v="Menophra sp. PK03"/>
        <s v="Mesostigmata sp. BOLD:ACL7934"/>
        <s v="Metaleurodicus cardini"/>
        <s v="Metopomyza scutellata"/>
        <s v="Miaromima cornucopia"/>
        <s v="Microcephalothrips abdominalis"/>
        <s v="Microcrambus sp. ANIC1"/>
        <s v="Mompha trithalama"/>
        <s v="Monomorium floricola"/>
        <s v="Moriomorphini sp."/>
        <s v="Mukaria albinotata"/>
        <s v="Mycetophilidae sp. BOLD-2016"/>
        <s v="Mycodiplosis sp."/>
        <s v="Mymaridae sp. BOLD:ACI4259"/>
        <s v="Nabis americoferus"/>
        <s v="Nabis capsiformis"/>
        <s v="Coccinellidae sp. INDOBIOSYS-CCDB25369-A06"/>
        <s v="Nematocampa completa"/>
        <s v="Neoblastobasis biceratala"/>
        <s v="Neotermes sp. 3 AB-2022a"/>
        <s v="Nerudia sp. N021 Arg161"/>
        <s v="Niphargus novomestanus"/>
        <s v="Notiopambolus sp. BIOUG36019-B03"/>
        <s v="Nymphalis c-album"/>
        <s v="Nysius niger"/>
        <s v="Ochetellus glaber"/>
        <s v="Oecophorinae sp. Trachypepla1 phaeolopha"/>
        <s v="Ophelimus sp. 1 RJH-2019"/>
        <s v="Ophiusa disjungens"/>
        <s v="Opogona omoscopa"/>
        <s v="Opogona sacchari"/>
        <s v="Orisarma patshuni"/>
        <s v="Orius majusculus"/>
        <s v="Ormosia sp. 1 LSR-2018"/>
        <s v="Ornebius bimaculatus"/>
        <s v="Orsilochides guttata"/>
        <s v="Orthocladiinae sp. BARS_2016_20_150"/>
        <s v="Orthops palus"/>
        <s v="Osmia ednae"/>
        <s v="Osmia sp. 1101791B-2012-001-00001"/>
        <s v="Osmia tristella"/>
        <s v="Oxidus gracilis"/>
        <s v="Oxyopes hindostanicus"/>
        <s v="Paguropsis confusa"/>
        <s v="Palpita quadristigmalis"/>
        <s v="Papanteles sp. Whitfield03"/>
        <s v="Parapanteles hyposidrae"/>
        <s v="Paratyphlotanais sp."/>
        <s v="Pentalonia nigronervosa"/>
        <s v="Periplaneta australasiae"/>
        <s v="Pezothrips kellyanus"/>
        <s v="Philodoria basalis"/>
        <s v="Philodromus cespitum"/>
        <s v="Philodromus fuscolimbatus"/>
        <s v="Philodromus oneida"/>
        <s v="Philodromus praelustris"/>
        <s v="Philodromus vulgaris"/>
        <s v="Phoridae sp."/>
        <s v="Phortica saltiaristula"/>
        <s v="Phyllonorycter issikii"/>
        <s v="Pimplinae sp. BOLD-2016"/>
        <s v="Piratula latitans"/>
        <s v="Plagiolepis alluaudi"/>
        <s v="Platygastridae sp. BOLD-2016"/>
        <s v="Platygastridae sp. BOLD:AAG7963"/>
        <s v="Platygastridae sp. BOLD:ACB6948"/>
        <s v="Pleuromamma gracilis"/>
        <s v="Pollenia pediculata"/>
        <s v="Polypedilum fanjingensis"/>
        <s v="Polypedilum sp. BOLD-2016"/>
        <s v="Porcellio scaber"/>
        <s v="Porcellionides pruinosus"/>
        <m/>
        <s v="Procecidochares utilis"/>
        <s v="Proteroiulus fuscus"/>
        <s v="Proutista moesta"/>
        <s v="Psychoda sp."/>
        <s v="Psychodidae sp."/>
        <s v="Pullimosina moesta"/>
        <s v="Pycnoscelus surinamensis"/>
        <s v="Rachesa chrisbrechlinae"/>
        <s v="Rhagastis albomarginatus"/>
        <s v="Rhamphomyia sp. 1 BKC-2015"/>
        <s v="Rhithrogena sibirica"/>
        <s v="Rhitymna pinangensis"/>
        <s v="Rhopalopterum sp. BOLD:ACA9702"/>
        <s v="Rubrocuneocoris calvertae"/>
        <s v="Rugathodes sexpunctatus"/>
        <s v="Rynchobanchus minomensis"/>
        <s v="Saccharosydne procerus"/>
        <s v="Sarcophaga karnyi"/>
        <s v="Sarcophaga peregrina"/>
        <s v="Scaptodrosophila curvata"/>
        <s v="Scaptomyza amplilobus"/>
        <s v="Scaptomyza flava"/>
        <s v="Scaptomyza pallida"/>
        <s v="Scaptomyza scoloplichas"/>
        <s v="Sceliodes cordalis"/>
        <s v="Schrankia costaestrigalis"/>
        <s v="Sciaridae sp."/>
        <s v="Sciaridae sp. BOLD:ACK6301"/>
        <s v="Sciaridae sp. sc_08982"/>
        <s v="Scolecocampa liburna"/>
        <s v="Scolopendra calcarata"/>
        <s v="Scolopendra subspinipes"/>
        <s v="Scoparia anthracomochla"/>
        <s v="Sinocalanus tenellus"/>
        <s v="Siphanta acuta"/>
        <s v="Spermatodes variolosus"/>
        <s v="Spilogona fatima"/>
        <s v="Spintharus sp. LA 00001712A"/>
        <s v="Staphylinidae sp."/>
        <s v="Staphylinidae sp. sc_01372"/>
        <s v="Steatoda nobilis"/>
        <s v="Stelidota geminata"/>
        <s v="Stenomorpha opaca"/>
        <s v="Stenoonops sp."/>
        <s v="Stenopsyche khasia"/>
        <s v="Stenus fuscicornis"/>
        <s v="Stigmaeidae sp. BOLD:ABV1824"/>
        <s v="Stigmaeidae sp. BOLD:ABV1832"/>
        <s v="Stoeberhinus testaceus"/>
        <s v="Strophopteryx fasciata"/>
        <s v="Strumigenys rogeri"/>
        <s v="Styposis sp."/>
        <s v="Svistella fallax"/>
        <s v="Symphypleona sp. BOLD:ACF8030"/>
        <s v="Tachininae sp. BOLD:ABV4494"/>
        <s v="Tachysphex bohemicus"/>
        <s v="Tachysphex karasi"/>
        <s v="Taeniapterinae sp."/>
        <s v="Tapinoma melanocephalum"/>
        <s v="Tarsonemidae sp. BOLD:ACW5507"/>
        <s v="Tauroscopa lachnaea"/>
        <s v="Technomyrmex albipes"/>
        <s v="Technomyrmex difficilis"/>
        <s v="Technomyrmex fisheri"/>
        <s v="Telphusa longifasciella"/>
        <s v="Tetragnatha brevignatha"/>
        <s v="Tetragnatha versicolor"/>
        <s v="Tetragnatha viridis"/>
        <s v="Tetramorium bicarinatum"/>
        <s v="Tetranychidae sp. BOLD:ACK3451"/>
        <s v="Tetranychus evansi"/>
        <s v="Tettigoniidae sp. sc_05052"/>
        <s v="Tettigoniidae sp. sc_09070"/>
        <s v="Teuchophorus obliquus"/>
        <s v="Thagria digitata"/>
        <s v="Thaumetopoea herculeana"/>
        <s v="Theridiidae sp. WAM T149348"/>
        <s v="Thrips australis"/>
        <s v="Thrips orientalis"/>
        <s v="Thrips palmi"/>
        <s v="Tomocerus minor"/>
        <s v="Tomocerus sp. BOLD:ACJ1722"/>
        <s v="Tomocerus sp. BOLD:ACL9454"/>
        <s v="Tomosvaryella sp. CNC Diptera 111701"/>
        <s v="Trichrysis kylan"/>
        <s v="Trigonidiidae sp."/>
        <s v="Triophtydeus sp. BIOUG24230-C10"/>
        <s v="Trioza remota"/>
        <s v="Trombidiformes sp. BOLD:ACV5754"/>
        <s v="Tydeidae sp. BIOUG24577-E07"/>
        <s v="Tymbophora peltastis"/>
        <s v="Vaejovis paysonensis"/>
        <s v="Vespa velutina"/>
        <s v="Xylorycta sp. ANIC33"/>
        <s v="Xylosandrus compactus"/>
        <s v="Xysticus montanensis"/>
        <s v="Xysticus ulmi"/>
        <s v="Zaprionus indianus"/>
        <s v="Zeridoneus costalis"/>
        <s v="Zombrus aff. croceipes CNIN3091"/>
        <s v="Ablemma shimojanai"/>
        <s v="Agrypon sp."/>
        <s v="Amerodectes dumetellae"/>
        <s v="Cephalops ultimus"/>
        <s v="Coleosoma floridanum"/>
        <s v="Coquillettia sp. WCW-2003"/>
        <s v="Dichromodes atrosignata"/>
        <s v="Hyposmocoma auropurpurea"/>
        <s v="Hyposmocoma kamaula"/>
        <s v="Hyposmocoma malornata"/>
        <s v="Hyposmocoma pahanalo"/>
        <s v="Hyposmocoma palmifera"/>
        <s v="Hyposmocoma sp. 123 WPH-2014"/>
        <s v="Hyposmocoma sp. 93 WPH-2014"/>
        <s v="Kilauella sp. KispEL"/>
        <s v="Myrmarachne gisti"/>
        <s v="Cunaxidae sp. BOLD:ACI2975"/>
        <s v="Entomobryidae sp. BIOUG19501-F09"/>
        <s v="Eupodidae sp. BOLD:ADE1610"/>
        <s v="Parasitidae sp. BOLD:ADD3221"/>
        <s v="Stigmaeidae sp. BOLD:AAU6270"/>
        <s v="Nesosydne bridwelli"/>
        <s v="Nesosydne chambersi"/>
        <s v="Pariaconus gracilis"/>
        <s v="Pariaconus pele"/>
        <s v="Phantasca quadrilobata"/>
        <s v="Pogonognathellus longicornis"/>
        <s v="Scotinotylus patellatus"/>
        <s v="Talitroides topitotum"/>
        <s v="Theridion grallator"/>
        <s v="Apochrysa matsumurae"/>
        <s v="Cristarmadillidium myrmecophilum"/>
        <s v="Leptobelistis isthmodes"/>
        <s v="Cantharidae sp."/>
        <s v="Pompilidae sp. BOLD-2016"/>
        <s v="Sympis rufibasis"/>
      </sharedItems>
    </cacheField>
    <cacheField name="status_genus" numFmtId="0">
      <sharedItems containsBlank="1" count="3">
        <s v="introduced"/>
        <s v="nativ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7">
  <r>
    <s v="Zotu1284"/>
    <n v="1284"/>
    <n v="93.888999999999996"/>
    <n v="0.51899999999999102"/>
    <s v="Gryllidae"/>
    <s v="Nan"/>
    <s v="Gryllidae sp. sc_04139"/>
    <s v="Abstrigonidium"/>
    <x v="0"/>
    <x v="0"/>
  </r>
  <r>
    <s v="Zotu1958"/>
    <n v="1958"/>
    <n v="92.215999999999994"/>
    <n v="0.69099999999998796"/>
    <s v="Chironomidae"/>
    <s v="Corynoneura"/>
    <s v="Corynoneura sp."/>
    <s v="Abstrigonidium"/>
    <x v="0"/>
    <x v="0"/>
  </r>
  <r>
    <s v="Zotu2148"/>
    <n v="2148"/>
    <n v="93.332999999999998"/>
    <n v="0.51500000000000101"/>
    <s v="Gryllidae"/>
    <s v="Nan"/>
    <s v="Gryllidae sp. sc_04139"/>
    <s v="Abstrigonidium"/>
    <x v="0"/>
    <x v="0"/>
  </r>
  <r>
    <s v="Zotu1475"/>
    <n v="1475"/>
    <n v="94.623999999999995"/>
    <n v="2.4159999999999999"/>
    <s v="Cerambycidae"/>
    <s v="Rondibilis"/>
    <s v="Rondibilis sp."/>
    <s v="Acalitus"/>
    <x v="1"/>
    <x v="0"/>
  </r>
  <r>
    <s v="Zotu1903"/>
    <n v="1903"/>
    <n v="98.387"/>
    <n v="98.387"/>
    <m/>
    <m/>
    <m/>
    <s v="Acalitus"/>
    <x v="1"/>
    <x v="0"/>
  </r>
  <r>
    <s v="Zotu2167"/>
    <n v="2167"/>
    <n v="93.548000000000002"/>
    <n v="0.81100000000000705"/>
    <s v="Nannastacidae"/>
    <s v="Campylaspis"/>
    <s v="Campylaspis sulcata"/>
    <s v="Acalitus"/>
    <x v="1"/>
    <x v="0"/>
  </r>
  <r>
    <s v="Zotu664"/>
    <n v="664"/>
    <n v="94.085999999999999"/>
    <n v="0.57999999999999796"/>
    <s v="Chironomidae"/>
    <s v="Nan"/>
    <s v="Chironominae environmental sample"/>
    <s v="Acalitus"/>
    <x v="1"/>
    <x v="0"/>
  </r>
  <r>
    <s v="Zotu1265"/>
    <n v="1265"/>
    <n v="94.444000000000003"/>
    <n v="1.3880000000000099"/>
    <s v="yes"/>
    <s v="yes"/>
    <s v="yes"/>
    <s v="Acanthodiaptomus"/>
    <x v="2"/>
    <x v="0"/>
  </r>
  <r>
    <s v="Zotu1315"/>
    <n v="1315"/>
    <n v="95.031000000000006"/>
    <n v="0.42000000000000198"/>
    <s v="yes"/>
    <s v="yes"/>
    <s v="Trombidiformes sp. BOLD:ACV5754"/>
    <s v="Acariformes"/>
    <x v="3"/>
    <x v="0"/>
  </r>
  <r>
    <s v="Zotu572"/>
    <n v="572"/>
    <n v="91.924999999999997"/>
    <n v="0.21200000000000299"/>
    <s v="Tarsonemidae"/>
    <s v="yes"/>
    <s v="Tarsonemidae sp. BIOUG25925-H08"/>
    <s v="Acariformes"/>
    <x v="3"/>
    <x v="0"/>
  </r>
  <r>
    <s v="Zotu920"/>
    <n v="920"/>
    <n v="92.546999999999997"/>
    <n v="0.28199999999999598"/>
    <s v="Tarsonemidae"/>
    <s v="yes"/>
    <s v="Tarsonemidae sp. BIOUG25925-H08"/>
    <s v="Acariformes"/>
    <x v="3"/>
    <x v="0"/>
  </r>
  <r>
    <s v="Zotu827"/>
    <n v="827"/>
    <n v="97.238"/>
    <n v="0.55299999999999705"/>
    <s v="Castniidae"/>
    <s v="Synemon"/>
    <s v="Synemon plana"/>
    <s v="Achoria"/>
    <x v="4"/>
    <x v="0"/>
  </r>
  <r>
    <s v="Zotu1362"/>
    <n v="1362"/>
    <n v="95.081999999999994"/>
    <n v="2.5449999999999902"/>
    <s v="Lysianassidae"/>
    <s v="Orchomenella"/>
    <s v="Orchomenella obtusa"/>
    <s v="Aetana"/>
    <x v="5"/>
    <x v="0"/>
  </r>
  <r>
    <s v="Zotu2160"/>
    <n v="2160"/>
    <n v="92.856999999999999"/>
    <n v="92.856999999999999"/>
    <m/>
    <m/>
    <m/>
    <s v="Aetana"/>
    <x v="5"/>
    <x v="0"/>
  </r>
  <r>
    <s v="Zotu171"/>
    <n v="171"/>
    <n v="93.296000000000006"/>
    <n v="93.296000000000006"/>
    <m/>
    <m/>
    <m/>
    <s v="Afronothrus"/>
    <x v="6"/>
    <x v="0"/>
  </r>
  <r>
    <s v="Zotu488"/>
    <n v="488"/>
    <n v="100"/>
    <n v="100"/>
    <m/>
    <m/>
    <m/>
    <s v="Agapetus"/>
    <x v="7"/>
    <x v="0"/>
  </r>
  <r>
    <s v="Zotu658"/>
    <n v="658"/>
    <n v="100"/>
    <n v="6.78"/>
    <s v="Dolichomastigaceae"/>
    <s v="Dolichomastix"/>
    <s v="Dolichomastix tenuilepis"/>
    <s v="Agapetus"/>
    <x v="7"/>
    <x v="0"/>
  </r>
  <r>
    <s v="Zotu1008"/>
    <n v="1008"/>
    <n v="100"/>
    <n v="100"/>
    <m/>
    <m/>
    <m/>
    <s v="Agriades"/>
    <x v="8"/>
    <x v="0"/>
  </r>
  <r>
    <s v="Zotu1411"/>
    <n v="1411"/>
    <n v="94.885999999999996"/>
    <n v="0"/>
    <s v="Tortricidae"/>
    <s v="Sparganothis"/>
    <s v="Sparganothis reticulatana"/>
    <s v="Agrius"/>
    <x v="9"/>
    <x v="0"/>
  </r>
  <r>
    <s v="Zotu610"/>
    <n v="610"/>
    <n v="96.685000000000002"/>
    <n v="1.8000000000000699E-2"/>
    <s v="Cosmopterigidae"/>
    <s v="Hyposmocoma"/>
    <s v="Hyposmocoma eepawai"/>
    <s v="Aiteta"/>
    <x v="10"/>
    <x v="0"/>
  </r>
  <r>
    <s v="Zotu366"/>
    <n v="366"/>
    <n v="92.179000000000002"/>
    <n v="0.36599999999999999"/>
    <s v="yes"/>
    <s v="yes"/>
    <s v="yes"/>
    <s v="Aleurodicinae"/>
    <x v="11"/>
    <x v="0"/>
  </r>
  <r>
    <s v="Zotu41"/>
    <n v="41"/>
    <n v="91.62"/>
    <n v="0.39200000000001001"/>
    <s v="yes"/>
    <s v="yes"/>
    <s v="yes"/>
    <s v="Aleurodicinae"/>
    <x v="11"/>
    <x v="0"/>
  </r>
  <r>
    <s v="Zotu2524"/>
    <n v="2524"/>
    <n v="93.143000000000001"/>
    <n v="0.364999999999995"/>
    <s v="yes"/>
    <s v="Orthops"/>
    <s v="Orthops palus"/>
    <s v="Alloeonotus"/>
    <x v="12"/>
    <x v="0"/>
  </r>
  <r>
    <s v="Zotu159"/>
    <n v="159"/>
    <n v="100"/>
    <n v="0"/>
    <s v="yes"/>
    <s v="yes"/>
    <s v="Allograpta sp. BIOUG31742-F04"/>
    <s v="Allograpta"/>
    <x v="13"/>
    <x v="0"/>
  </r>
  <r>
    <s v="Zotu1717"/>
    <n v="1717"/>
    <n v="92.817999999999998"/>
    <n v="0"/>
    <s v="yes"/>
    <s v="yes"/>
    <s v="Allograpta sp. BIOUG31742-F04"/>
    <s v="Allograpta"/>
    <x v="13"/>
    <x v="0"/>
  </r>
  <r>
    <s v="Zotu511"/>
    <n v="511"/>
    <n v="93.37"/>
    <n v="0"/>
    <s v="yes"/>
    <s v="yes"/>
    <s v="Allograpta sp. BIOUG31742-F04"/>
    <s v="Allograpta"/>
    <x v="13"/>
    <x v="0"/>
  </r>
  <r>
    <s v="Zotu2517"/>
    <n v="2517"/>
    <n v="95.58"/>
    <n v="0.55199999999999205"/>
    <s v="yes"/>
    <s v="yes"/>
    <s v="yes"/>
    <s v="Amiota"/>
    <x v="14"/>
    <x v="0"/>
  </r>
  <r>
    <s v="Zotu155"/>
    <n v="155"/>
    <n v="100"/>
    <n v="100"/>
    <m/>
    <m/>
    <m/>
    <s v="Aname"/>
    <x v="15"/>
    <x v="0"/>
  </r>
  <r>
    <s v="Zotu614"/>
    <n v="614"/>
    <n v="92.817999999999998"/>
    <n v="3.9999999999992E-2"/>
    <s v="yes"/>
    <s v="Homoeoxipha"/>
    <s v="Homoeoxipha obliterata"/>
    <s v="Anaxipha"/>
    <x v="16"/>
    <x v="0"/>
  </r>
  <r>
    <s v="Zotu1711"/>
    <n v="1711"/>
    <n v="92.265000000000001"/>
    <n v="4.3000000000006401E-2"/>
    <s v="yes"/>
    <s v="Homoeoxipha"/>
    <s v="Homoeoxipha obliterata"/>
    <s v="Anaxiphomorpha"/>
    <x v="17"/>
    <x v="0"/>
  </r>
  <r>
    <s v="Zotu1865"/>
    <n v="1865"/>
    <n v="93.37"/>
    <n v="3.7000000000006097E-2"/>
    <s v="yes"/>
    <s v="Abstrigonidium"/>
    <s v="Abstrigonidium chloropodum"/>
    <s v="Anaxiphomorpha"/>
    <x v="17"/>
    <x v="0"/>
  </r>
  <r>
    <s v="Zotu2458"/>
    <n v="2458"/>
    <n v="92.265000000000001"/>
    <n v="4.3000000000006401E-2"/>
    <s v="yes"/>
    <s v="Trigonidium"/>
    <s v="Trigonidium sp. BOLD:AAH2919"/>
    <s v="Anaxiphomorpha"/>
    <x v="17"/>
    <x v="0"/>
  </r>
  <r>
    <s v="Zotu2333"/>
    <n v="2333"/>
    <n v="96.667000000000002"/>
    <n v="0.55599999999999705"/>
    <s v="yes"/>
    <s v="yes"/>
    <s v="yes"/>
    <s v="Anopheles"/>
    <x v="18"/>
    <x v="0"/>
  </r>
  <r>
    <s v="Zotu1000"/>
    <n v="1000"/>
    <n v="100"/>
    <n v="1.105"/>
    <s v="yes"/>
    <s v="yes"/>
    <s v="yes"/>
    <s v="Anoplolepis"/>
    <x v="19"/>
    <x v="0"/>
  </r>
  <r>
    <s v="Zotu1423"/>
    <n v="1423"/>
    <n v="97.238"/>
    <n v="1.6000000000005302E-2"/>
    <s v="Noctuidae"/>
    <s v="Callopistria"/>
    <s v="Callopistria floridensis"/>
    <s v="Antiblemma"/>
    <x v="20"/>
    <x v="0"/>
  </r>
  <r>
    <s v="Zotu1488"/>
    <n v="1488"/>
    <n v="97.79"/>
    <n v="1.20000000000005E-2"/>
    <s v="Noctuidae"/>
    <s v="Callopistria"/>
    <s v="Callopistria floridensis"/>
    <s v="Antiblemma"/>
    <x v="20"/>
    <x v="0"/>
  </r>
  <r>
    <s v="Zotu1837"/>
    <n v="1837"/>
    <n v="95.58"/>
    <n v="2.4000000000000899E-2"/>
    <s v="Noctuidae"/>
    <s v="Callopistria"/>
    <s v="Callopistria floridensis"/>
    <s v="Antiblemma"/>
    <x v="20"/>
    <x v="0"/>
  </r>
  <r>
    <s v="Zotu264"/>
    <n v="264"/>
    <n v="97.778000000000006"/>
    <n v="1.30000000000052E-2"/>
    <s v="Noctuidae"/>
    <s v="Callopistria"/>
    <s v="Callopistria floridensis"/>
    <s v="Antiblemma"/>
    <x v="20"/>
    <x v="0"/>
  </r>
  <r>
    <s v="Zotu1810"/>
    <n v="1810"/>
    <n v="99.435000000000002"/>
    <n v="1.9999999999996E-2"/>
    <s v="yes"/>
    <s v="yes"/>
    <s v="Anystidae sp. BIOUG08496-D08"/>
    <s v="Anystidae"/>
    <x v="21"/>
    <x v="0"/>
  </r>
  <r>
    <s v="Zotu217"/>
    <n v="217"/>
    <n v="100"/>
    <n v="0.55200000000000704"/>
    <s v="yes"/>
    <s v="yes"/>
    <s v="Anystidae sp."/>
    <s v="Anystidae"/>
    <x v="21"/>
    <x v="0"/>
  </r>
  <r>
    <s v="Zotu621"/>
    <n v="621"/>
    <n v="99.447999999999993"/>
    <n v="0.55299999999999705"/>
    <s v="yes"/>
    <s v="yes"/>
    <s v="Anystidae sp."/>
    <s v="Anystidae"/>
    <x v="21"/>
    <x v="0"/>
  </r>
  <r>
    <s v="Zotu1892"/>
    <n v="1892"/>
    <n v="100"/>
    <n v="5.5869999999999997"/>
    <s v="yes"/>
    <s v="yes"/>
    <s v="Aphidius leclanti"/>
    <s v="Aphidius"/>
    <x v="22"/>
    <x v="0"/>
  </r>
  <r>
    <s v="Zotu2258"/>
    <n v="2258"/>
    <n v="99.447999999999993"/>
    <n v="4.476"/>
    <s v="yes"/>
    <s v="yes"/>
    <s v="Aphidius leclanti"/>
    <s v="Aphidius"/>
    <x v="22"/>
    <x v="0"/>
  </r>
  <r>
    <s v="Zotu1661"/>
    <n v="1661"/>
    <n v="99.447999999999993"/>
    <n v="9.9999999999908998E-3"/>
    <s v="yes"/>
    <s v="yes"/>
    <s v="yes"/>
    <s v="Aphidius"/>
    <x v="23"/>
    <x v="0"/>
  </r>
  <r>
    <s v="Zotu1840"/>
    <n v="1840"/>
    <n v="98.894999999999996"/>
    <n v="98.894999999999996"/>
    <m/>
    <m/>
    <m/>
    <s v="Aphis"/>
    <x v="24"/>
    <x v="0"/>
  </r>
  <r>
    <s v="Zotu642"/>
    <n v="642"/>
    <n v="99.447999999999993"/>
    <n v="99.447999999999993"/>
    <m/>
    <m/>
    <m/>
    <s v="Aphis"/>
    <x v="24"/>
    <x v="0"/>
  </r>
  <r>
    <s v="Zotu666"/>
    <n v="666"/>
    <n v="99.447999999999993"/>
    <n v="99.447999999999993"/>
    <m/>
    <m/>
    <m/>
    <s v="Aphis"/>
    <x v="25"/>
    <x v="0"/>
  </r>
  <r>
    <s v="Zotu1242"/>
    <n v="1242"/>
    <n v="100"/>
    <n v="100"/>
    <m/>
    <m/>
    <m/>
    <s v="Aphis"/>
    <x v="26"/>
    <x v="0"/>
  </r>
  <r>
    <s v="Zotu291"/>
    <n v="291"/>
    <n v="100"/>
    <n v="100"/>
    <m/>
    <m/>
    <m/>
    <s v="Aphis"/>
    <x v="27"/>
    <x v="0"/>
  </r>
  <r>
    <s v="Zotu1051"/>
    <n v="1051"/>
    <n v="100"/>
    <n v="0"/>
    <s v="yes"/>
    <s v="yes"/>
    <s v="Aphytis sp. 2 BSM-2012"/>
    <s v="Aphytis"/>
    <x v="28"/>
    <x v="0"/>
  </r>
  <r>
    <s v="Zotu1639"/>
    <n v="1639"/>
    <n v="100"/>
    <n v="0"/>
    <s v="yes"/>
    <s v="yes"/>
    <s v="Apis sp. BT-253"/>
    <s v="Apis"/>
    <x v="29"/>
    <x v="0"/>
  </r>
  <r>
    <s v="Zotu1781"/>
    <n v="1781"/>
    <n v="100"/>
    <n v="100"/>
    <m/>
    <m/>
    <m/>
    <s v="Apis"/>
    <x v="29"/>
    <x v="0"/>
  </r>
  <r>
    <s v="Zotu619"/>
    <n v="619"/>
    <n v="98.343000000000004"/>
    <n v="0"/>
    <s v="Nan"/>
    <s v="Nan"/>
    <s v="Hymenoptera sp. BT-251"/>
    <s v="Apis"/>
    <x v="29"/>
    <x v="0"/>
  </r>
  <r>
    <s v="Zotu187"/>
    <n v="187"/>
    <n v="97.058999999999997"/>
    <n v="4.2880000000000003"/>
    <s v="Lachesillidae"/>
    <s v="Lachesilla"/>
    <s v="Lachesilla pedicularia"/>
    <s v="Apohyale"/>
    <x v="30"/>
    <x v="0"/>
  </r>
  <r>
    <s v="Zotu2361"/>
    <n v="2361"/>
    <n v="100"/>
    <n v="0.71399999999999897"/>
    <s v="yes"/>
    <s v="yes"/>
    <s v="Araecerus levipennis"/>
    <s v="Araecerus"/>
    <x v="31"/>
    <x v="0"/>
  </r>
  <r>
    <s v="Zotu1822"/>
    <n v="1822"/>
    <n v="97.778000000000006"/>
    <n v="1.64500000000001"/>
    <s v="Cheiracanthiidae"/>
    <s v="Cheiracanthium"/>
    <s v="Cheiracanthium sp."/>
    <s v="Araneae"/>
    <x v="32"/>
    <x v="0"/>
  </r>
  <r>
    <s v="Zotu712"/>
    <n v="712"/>
    <n v="91.304000000000002"/>
    <n v="91.304000000000002"/>
    <m/>
    <m/>
    <m/>
    <s v="Arcitalitrus"/>
    <x v="33"/>
    <x v="0"/>
  </r>
  <r>
    <s v="Zotu2267"/>
    <n v="2267"/>
    <n v="95.028000000000006"/>
    <n v="0.55300000000001104"/>
    <s v="yes"/>
    <s v="yes"/>
    <s v="yes"/>
    <s v="Arenivaga"/>
    <x v="34"/>
    <x v="0"/>
  </r>
  <r>
    <s v="Zotu2552"/>
    <n v="2552"/>
    <n v="95.58"/>
    <n v="0.55199999999999205"/>
    <s v="yes"/>
    <s v="yes"/>
    <s v="yes"/>
    <s v="Arenivaga"/>
    <x v="34"/>
    <x v="0"/>
  </r>
  <r>
    <s v="Zotu2008"/>
    <n v="2008"/>
    <n v="98.894999999999996"/>
    <n v="0"/>
    <s v="yes"/>
    <m/>
    <m/>
    <s v="Argina"/>
    <x v="35"/>
    <x v="0"/>
  </r>
  <r>
    <s v="Zotu1874"/>
    <n v="1874"/>
    <n v="93.495999999999995"/>
    <n v="0.71799999999998898"/>
    <s v="yes"/>
    <s v="yes"/>
    <s v="yes"/>
    <s v="Argynnis"/>
    <x v="36"/>
    <x v="0"/>
  </r>
  <r>
    <s v="Zotu213"/>
    <n v="213"/>
    <n v="100"/>
    <n v="100"/>
    <m/>
    <m/>
    <m/>
    <s v="Ascidae"/>
    <x v="37"/>
    <x v="0"/>
  </r>
  <r>
    <s v="Zotu1569"/>
    <n v="1569"/>
    <n v="91.176000000000002"/>
    <n v="91.176000000000002"/>
    <m/>
    <m/>
    <m/>
    <s v="Aspidiotes"/>
    <x v="38"/>
    <x v="0"/>
  </r>
  <r>
    <s v="Zotu2178"/>
    <n v="2178"/>
    <n v="95.161000000000001"/>
    <n v="0.56600000000000295"/>
    <s v="Andrenidae"/>
    <s v="Panurginus"/>
    <s v="Panurginus crawfordi"/>
    <s v="Athalia"/>
    <x v="39"/>
    <x v="0"/>
  </r>
  <r>
    <s v="Zotu1243"/>
    <n v="1243"/>
    <n v="100"/>
    <n v="0"/>
    <s v="yes"/>
    <m/>
    <m/>
    <s v="Athetis"/>
    <x v="40"/>
    <x v="0"/>
  </r>
  <r>
    <s v="Zotu1739"/>
    <n v="1739"/>
    <n v="100"/>
    <n v="0"/>
    <s v="yes"/>
    <m/>
    <m/>
    <s v="Athetis"/>
    <x v="40"/>
    <x v="0"/>
  </r>
  <r>
    <s v="Zotu2061"/>
    <n v="2061"/>
    <n v="99.447999999999993"/>
    <n v="0"/>
    <s v="yes"/>
    <m/>
    <m/>
    <s v="Athetis"/>
    <x v="40"/>
    <x v="0"/>
  </r>
  <r>
    <s v="Zotu189"/>
    <n v="189"/>
    <n v="95.122"/>
    <n v="95.122"/>
    <m/>
    <m/>
    <m/>
    <s v="Austrocentrus"/>
    <x v="41"/>
    <x v="0"/>
  </r>
  <r>
    <s v="Zotu1427"/>
    <n v="1427"/>
    <n v="93.923000000000002"/>
    <n v="0"/>
    <s v="yes"/>
    <s v="Limnospila"/>
    <s v="Limnospila albifrons"/>
    <s v="Azelia"/>
    <x v="42"/>
    <x v="0"/>
  </r>
  <r>
    <s v="Zotu1584"/>
    <n v="1584"/>
    <n v="93.923000000000002"/>
    <n v="0"/>
    <s v="yes"/>
    <s v="Limnospila"/>
    <s v="Limnospila albifrons"/>
    <s v="Azelia"/>
    <x v="42"/>
    <x v="0"/>
  </r>
  <r>
    <s v="Zotu2225"/>
    <n v="2225"/>
    <n v="93.923000000000002"/>
    <n v="0.55299999999999705"/>
    <s v="yes"/>
    <s v="yes"/>
    <s v="Azelia cilipes"/>
    <s v="Azelia"/>
    <x v="42"/>
    <x v="0"/>
  </r>
  <r>
    <s v="Zotu1725"/>
    <n v="1725"/>
    <n v="95.58"/>
    <n v="0"/>
    <s v="yes"/>
    <s v="yes"/>
    <s v="Bactra xuthochyta"/>
    <s v="Bactra"/>
    <x v="43"/>
    <x v="0"/>
  </r>
  <r>
    <s v="Zotu681"/>
    <n v="681"/>
    <n v="96.132999999999996"/>
    <n v="0"/>
    <s v="yes"/>
    <s v="yes"/>
    <s v="Bactra xuthochyta"/>
    <s v="Bactra"/>
    <x v="43"/>
    <x v="0"/>
  </r>
  <r>
    <s v="Zotu1551"/>
    <n v="1551"/>
    <n v="99.447999999999993"/>
    <n v="99.447999999999993"/>
    <m/>
    <m/>
    <m/>
    <s v="Bactrocera"/>
    <x v="44"/>
    <x v="0"/>
  </r>
  <r>
    <s v="Zotu2261"/>
    <n v="2261"/>
    <n v="98.894999999999996"/>
    <n v="98.894999999999996"/>
    <m/>
    <m/>
    <m/>
    <s v="Bactrocera"/>
    <x v="44"/>
    <x v="0"/>
  </r>
  <r>
    <s v="Zotu267"/>
    <n v="267"/>
    <n v="96.685000000000002"/>
    <n v="1.8000000000000699E-2"/>
    <s v="yes"/>
    <s v="yes"/>
    <s v="Bactrocera carambolae"/>
    <s v="Bactrocera"/>
    <x v="44"/>
    <x v="0"/>
  </r>
  <r>
    <s v="Zotu335"/>
    <n v="335"/>
    <n v="94.474999999999994"/>
    <n v="0"/>
    <s v="yes"/>
    <s v="yes"/>
    <s v="Badumna sp. CG186"/>
    <s v="Badumna"/>
    <x v="45"/>
    <x v="0"/>
  </r>
  <r>
    <s v="Zotu2044"/>
    <n v="2044"/>
    <n v="100"/>
    <n v="6.70399999999999"/>
    <s v="Linyphiidae"/>
    <s v="Diplostyla"/>
    <s v="Diplostyla concolor"/>
    <s v="Badumna"/>
    <x v="46"/>
    <x v="0"/>
  </r>
  <r>
    <s v="Zotu2220"/>
    <n v="2220"/>
    <n v="92.817999999999998"/>
    <n v="0.77299999999999602"/>
    <s v="Blaberidae"/>
    <s v="Panesthia"/>
    <s v="Panesthia angustipennis"/>
    <s v="Balta"/>
    <x v="47"/>
    <x v="0"/>
  </r>
  <r>
    <s v="Zotu79"/>
    <n v="79"/>
    <n v="95.028000000000006"/>
    <n v="2.8000000000005801E-2"/>
    <s v="Xyloryctidae"/>
    <s v="Leptobelistis"/>
    <s v="Leptobelistis isthmodes"/>
    <s v="Barea"/>
    <x v="48"/>
    <x v="0"/>
  </r>
  <r>
    <s v="Zotu1209"/>
    <n v="1209"/>
    <n v="93.442999999999998"/>
    <n v="2.3980000000000001"/>
    <s v="Ameletidae"/>
    <s v="Ameletus"/>
    <s v="Ameletus sp. OPU BS 2021-176-IC-EP"/>
    <s v="Bembidion"/>
    <x v="49"/>
    <x v="0"/>
  </r>
  <r>
    <s v="Zotu2007"/>
    <n v="2007"/>
    <n v="100"/>
    <n v="100"/>
    <m/>
    <m/>
    <m/>
    <s v="Bemisia"/>
    <x v="50"/>
    <x v="0"/>
  </r>
  <r>
    <s v="Zotu249"/>
    <n v="249"/>
    <n v="100"/>
    <n v="100"/>
    <m/>
    <m/>
    <m/>
    <s v="Bemisia"/>
    <x v="50"/>
    <x v="0"/>
  </r>
  <r>
    <s v="Zotu727"/>
    <n v="727"/>
    <n v="100"/>
    <n v="100"/>
    <m/>
    <m/>
    <m/>
    <s v="Bemisia"/>
    <x v="50"/>
    <x v="0"/>
  </r>
  <r>
    <s v="Zotu829"/>
    <n v="829"/>
    <n v="100"/>
    <n v="100"/>
    <m/>
    <m/>
    <m/>
    <s v="Bemisia"/>
    <x v="50"/>
    <x v="0"/>
  </r>
  <r>
    <s v="Zotu832"/>
    <n v="832"/>
    <n v="100"/>
    <n v="100"/>
    <m/>
    <m/>
    <m/>
    <s v="Bemisia"/>
    <x v="50"/>
    <x v="0"/>
  </r>
  <r>
    <s v="Zotu603"/>
    <n v="603"/>
    <n v="99.447999999999993"/>
    <n v="0.55299999999999705"/>
    <s v="yes"/>
    <s v="yes"/>
    <s v="Blastobasis sp."/>
    <s v="Blastobasis"/>
    <x v="51"/>
    <x v="0"/>
  </r>
  <r>
    <s v="Zotu686"/>
    <n v="686"/>
    <n v="97.238"/>
    <n v="0.55299999999999705"/>
    <s v="Blaberidae"/>
    <s v="Pycnoscelus"/>
    <s v="Pycnoscelus indicus"/>
    <s v="Blattodea"/>
    <x v="52"/>
    <x v="0"/>
  </r>
  <r>
    <s v="Zotu646"/>
    <n v="646"/>
    <n v="96.111000000000004"/>
    <n v="0"/>
    <s v="yes"/>
    <s v="Nan"/>
    <s v="Sciaridae sp. SG-BCISP-7255"/>
    <s v="Bradysia"/>
    <x v="53"/>
    <x v="0"/>
  </r>
  <r>
    <s v="Zotu2157"/>
    <n v="2157"/>
    <n v="96.552000000000007"/>
    <n v="0.90000000000000602"/>
    <s v="yes"/>
    <s v="yes"/>
    <s v="Brasema sp. G0052"/>
    <s v="Brasema"/>
    <x v="54"/>
    <x v="0"/>
  </r>
  <r>
    <s v="Zotu2289"/>
    <n v="2289"/>
    <n v="97.546000000000006"/>
    <n v="3.6909999999999998"/>
    <s v="Nan"/>
    <s v="Nan"/>
    <s v="Hymenoptera sp. BOLD:AAN7767"/>
    <s v="Brasema"/>
    <x v="55"/>
    <x v="0"/>
  </r>
  <r>
    <s v="Zotu739"/>
    <n v="739"/>
    <n v="95.652000000000001"/>
    <n v="2.9150000000000098"/>
    <s v="yes"/>
    <s v="Eupelmus"/>
    <s v="Eupelmus pini"/>
    <s v="Brasema"/>
    <x v="55"/>
    <x v="0"/>
  </r>
  <r>
    <s v="Zotu900"/>
    <n v="900"/>
    <n v="96.914000000000001"/>
    <n v="3.0590000000000002"/>
    <s v="yes"/>
    <s v="Eupelmus"/>
    <s v="Eupelmus pini"/>
    <s v="Brasema"/>
    <x v="55"/>
    <x v="0"/>
  </r>
  <r>
    <s v="Zotu1251"/>
    <n v="1251"/>
    <n v="99.447999999999993"/>
    <n v="2.7629999999999901"/>
    <s v="yes"/>
    <s v="yes"/>
    <s v="yes"/>
    <s v="Brevipalpus"/>
    <x v="56"/>
    <x v="0"/>
  </r>
  <r>
    <s v="Zotu1308"/>
    <n v="1308"/>
    <n v="100"/>
    <n v="2.762"/>
    <s v="yes"/>
    <s v="yes"/>
    <s v="yes"/>
    <s v="Brevipalpus"/>
    <x v="56"/>
    <x v="0"/>
  </r>
  <r>
    <s v="Zotu1700"/>
    <n v="1700"/>
    <n v="98.343000000000004"/>
    <n v="2.7630000000000101"/>
    <s v="yes"/>
    <s v="yes"/>
    <s v="yes"/>
    <s v="Brevipalpus"/>
    <x v="56"/>
    <x v="0"/>
  </r>
  <r>
    <s v="Zotu1887"/>
    <n v="1887"/>
    <n v="97.221999999999994"/>
    <n v="1.6659999999999999"/>
    <s v="yes"/>
    <s v="yes"/>
    <s v="yes"/>
    <s v="Brevipalpus"/>
    <x v="56"/>
    <x v="0"/>
  </r>
  <r>
    <s v="Zotu223"/>
    <n v="223"/>
    <n v="100"/>
    <n v="2.762"/>
    <s v="yes"/>
    <s v="yes"/>
    <s v="yes"/>
    <s v="Brevipalpus"/>
    <x v="56"/>
    <x v="0"/>
  </r>
  <r>
    <s v="Zotu495"/>
    <n v="495"/>
    <n v="99.447999999999993"/>
    <n v="1.6579999999999899"/>
    <s v="yes"/>
    <s v="yes"/>
    <s v="yes"/>
    <s v="Brevipalpus"/>
    <x v="56"/>
    <x v="0"/>
  </r>
  <r>
    <s v="Zotu902"/>
    <n v="902"/>
    <n v="99.447999999999993"/>
    <n v="2.7629999999999901"/>
    <s v="yes"/>
    <s v="yes"/>
    <s v="yes"/>
    <s v="Brevipalpus"/>
    <x v="56"/>
    <x v="0"/>
  </r>
  <r>
    <s v="Zotu317"/>
    <n v="317"/>
    <n v="97.647000000000006"/>
    <n v="0.58800000000000796"/>
    <s v="yes"/>
    <s v="yes"/>
    <s v="yes"/>
    <s v="Brevipalpus"/>
    <x v="57"/>
    <x v="0"/>
  </r>
  <r>
    <s v="Zotu1644"/>
    <n v="1644"/>
    <n v="96.685000000000002"/>
    <n v="0.55200000000000704"/>
    <s v="yes"/>
    <s v="yes"/>
    <s v="yes"/>
    <s v="Brochymena"/>
    <x v="58"/>
    <x v="0"/>
  </r>
  <r>
    <s v="Zotu1992"/>
    <n v="1992"/>
    <n v="96.132999999999996"/>
    <n v="0.55299999999999705"/>
    <s v="yes"/>
    <s v="yes"/>
    <s v="yes"/>
    <s v="Brochymena"/>
    <x v="58"/>
    <x v="0"/>
  </r>
  <r>
    <s v="Zotu517"/>
    <n v="517"/>
    <n v="96.685000000000002"/>
    <n v="0.55200000000000704"/>
    <s v="yes"/>
    <s v="yes"/>
    <s v="yes"/>
    <s v="Brochymena"/>
    <x v="58"/>
    <x v="0"/>
  </r>
  <r>
    <s v="Zotu1193"/>
    <n v="1193"/>
    <n v="98.894999999999996"/>
    <n v="98.894999999999996"/>
    <m/>
    <m/>
    <m/>
    <s v="Burmoniscus"/>
    <x v="59"/>
    <x v="0"/>
  </r>
  <r>
    <s v="Zotu1443"/>
    <n v="1443"/>
    <n v="95"/>
    <n v="95"/>
    <m/>
    <m/>
    <m/>
    <s v="Burmoniscus"/>
    <x v="59"/>
    <x v="0"/>
  </r>
  <r>
    <s v="Zotu2332"/>
    <n v="2332"/>
    <n v="96.685000000000002"/>
    <n v="96.685000000000002"/>
    <m/>
    <m/>
    <m/>
    <s v="Burmoniscus"/>
    <x v="59"/>
    <x v="0"/>
  </r>
  <r>
    <s v="Zotu354"/>
    <n v="354"/>
    <n v="99.447999999999993"/>
    <n v="99.447999999999993"/>
    <m/>
    <m/>
    <m/>
    <s v="Burmoniscus"/>
    <x v="59"/>
    <x v="0"/>
  </r>
  <r>
    <s v="Zotu454"/>
    <n v="454"/>
    <n v="99.447999999999993"/>
    <n v="99.447999999999993"/>
    <m/>
    <m/>
    <m/>
    <s v="Burmoniscus"/>
    <x v="59"/>
    <x v="0"/>
  </r>
  <r>
    <s v="Zotu644"/>
    <n v="644"/>
    <n v="97.79"/>
    <n v="97.79"/>
    <m/>
    <m/>
    <m/>
    <s v="Burmoniscus"/>
    <x v="59"/>
    <x v="0"/>
  </r>
  <r>
    <s v="Zotu69"/>
    <n v="69"/>
    <n v="100"/>
    <n v="100"/>
    <m/>
    <m/>
    <m/>
    <s v="Burmoniscus"/>
    <x v="59"/>
    <x v="0"/>
  </r>
  <r>
    <s v="Zotu2182"/>
    <n v="2182"/>
    <n v="98.343000000000004"/>
    <n v="98.343000000000004"/>
    <m/>
    <m/>
    <m/>
    <s v="Caecilius"/>
    <x v="60"/>
    <x v="0"/>
  </r>
  <r>
    <s v="Zotu228"/>
    <n v="228"/>
    <n v="92.941000000000003"/>
    <n v="0"/>
    <s v="yes"/>
    <s v="Valenzuela"/>
    <s v="Valenzuela piceus"/>
    <s v="Caeciliusidae"/>
    <x v="61"/>
    <x v="0"/>
  </r>
  <r>
    <s v="Zotu1960"/>
    <n v="1960"/>
    <n v="94.117999999999995"/>
    <n v="1.3639999999999901"/>
    <s v="Heptageniidae"/>
    <s v="Heptagenia"/>
    <s v="Heptagenia longicauda"/>
    <s v="Callimerus"/>
    <x v="62"/>
    <x v="0"/>
  </r>
  <r>
    <s v="Zotu1232"/>
    <n v="1232"/>
    <n v="91.304000000000002"/>
    <n v="91.304000000000002"/>
    <m/>
    <m/>
    <m/>
    <s v="Calocalanus"/>
    <x v="63"/>
    <x v="0"/>
  </r>
  <r>
    <s v="Zotu2376"/>
    <n v="2376"/>
    <n v="93.182000000000002"/>
    <n v="3.9000000000001499E-2"/>
    <s v="yes"/>
    <s v="yes"/>
    <s v="yes"/>
    <s v="Calocoris"/>
    <x v="64"/>
    <x v="0"/>
  </r>
  <r>
    <s v="Zotu807"/>
    <n v="807"/>
    <n v="100"/>
    <n v="0"/>
    <s v="yes"/>
    <s v="yes"/>
    <s v="Camerobiidae sp. BIOUG20334-A11"/>
    <s v="Camerobiidae"/>
    <x v="65"/>
    <x v="0"/>
  </r>
  <r>
    <s v="Zotu1365"/>
    <n v="1365"/>
    <n v="95.055000000000007"/>
    <n v="95.055000000000007"/>
    <m/>
    <m/>
    <m/>
    <s v="Campylaspis"/>
    <x v="66"/>
    <x v="0"/>
  </r>
  <r>
    <s v="Zotu1539"/>
    <n v="1539"/>
    <n v="95.055000000000007"/>
    <n v="3.7509999999999999"/>
    <s v="Chironomidae"/>
    <s v="Nan"/>
    <s v="Chironominae environmental sample"/>
    <s v="Campylaspis"/>
    <x v="66"/>
    <x v="0"/>
  </r>
  <r>
    <s v="Zotu1671"/>
    <n v="1671"/>
    <n v="97.253"/>
    <n v="97.253"/>
    <m/>
    <m/>
    <m/>
    <s v="Campylaspis"/>
    <x v="66"/>
    <x v="0"/>
  </r>
  <r>
    <s v="Zotu1870"/>
    <n v="1870"/>
    <n v="93.442999999999998"/>
    <n v="1.13499999999999"/>
    <s v="Leptonetidae"/>
    <s v="Leptonetela"/>
    <s v="Leptonetela hamata"/>
    <s v="Campylaspis"/>
    <x v="66"/>
    <x v="0"/>
  </r>
  <r>
    <s v="Zotu1959"/>
    <n v="1959"/>
    <n v="97.802000000000007"/>
    <n v="6.593"/>
    <s v="Leptonetidae"/>
    <s v="Leptonetela"/>
    <s v="Leptonetela hamata"/>
    <s v="Campylaspis"/>
    <x v="66"/>
    <x v="0"/>
  </r>
  <r>
    <s v="Zotu2250"/>
    <n v="2250"/>
    <n v="95.603999999999999"/>
    <n v="1.3180000000000001"/>
    <s v="Nan"/>
    <s v="Nan"/>
    <s v="Harpacticoida sp. 10BIOBC-00715"/>
    <s v="Campylaspis"/>
    <x v="66"/>
    <x v="0"/>
  </r>
  <r>
    <s v="Zotu2256"/>
    <n v="2256"/>
    <n v="91.257000000000005"/>
    <n v="91.257000000000005"/>
    <m/>
    <m/>
    <m/>
    <s v="Campylaspis"/>
    <x v="66"/>
    <x v="0"/>
  </r>
  <r>
    <s v="Zotu2384"/>
    <n v="2384"/>
    <n v="97.253"/>
    <n v="4.9449999999999896"/>
    <s v="Leptonetidae"/>
    <s v="Leptonetela"/>
    <s v="Leptonetela hamata"/>
    <s v="Campylaspis"/>
    <x v="66"/>
    <x v="0"/>
  </r>
  <r>
    <s v="Zotu2460"/>
    <n v="2460"/>
    <n v="93.406999999999996"/>
    <n v="93.406999999999996"/>
    <m/>
    <m/>
    <m/>
    <s v="Campylaspis"/>
    <x v="66"/>
    <x v="0"/>
  </r>
  <r>
    <s v="Zotu2489"/>
    <n v="2489"/>
    <n v="93.406999999999996"/>
    <n v="93.406999999999996"/>
    <m/>
    <m/>
    <m/>
    <s v="Campylaspis"/>
    <x v="66"/>
    <x v="0"/>
  </r>
  <r>
    <s v="Zotu2497"/>
    <n v="2497"/>
    <n v="93.406999999999996"/>
    <n v="93.406999999999996"/>
    <m/>
    <m/>
    <m/>
    <s v="Campylaspis"/>
    <x v="66"/>
    <x v="0"/>
  </r>
  <r>
    <s v="Zotu875"/>
    <n v="875"/>
    <n v="96.703000000000003"/>
    <n v="0.92799999999999705"/>
    <s v="Daphniidae"/>
    <s v="Daphnia"/>
    <s v="Daphnia ishidai"/>
    <s v="Campylaspis"/>
    <x v="66"/>
    <x v="0"/>
  </r>
  <r>
    <s v="Zotu1472"/>
    <n v="1472"/>
    <n v="91.111000000000004"/>
    <n v="91.111000000000004"/>
    <m/>
    <m/>
    <m/>
    <s v="Cardiodactylus"/>
    <x v="67"/>
    <x v="0"/>
  </r>
  <r>
    <s v="Zotu1537"/>
    <n v="1537"/>
    <n v="92.647000000000006"/>
    <n v="0.86599999999999999"/>
    <s v="yes"/>
    <s v="yes"/>
    <s v="Caridea sp. LPdivOTU343"/>
    <s v="Caridea"/>
    <x v="68"/>
    <x v="0"/>
  </r>
  <r>
    <s v="Zotu1402"/>
    <n v="1402"/>
    <n v="95.555999999999997"/>
    <n v="0.50099999999999101"/>
    <s v="Crambidae"/>
    <s v="Glaphyria"/>
    <s v="Glaphyria glaphyralis"/>
    <s v="Carposina"/>
    <x v="69"/>
    <x v="0"/>
  </r>
  <r>
    <s v="Zotu163"/>
    <n v="163"/>
    <n v="96.111000000000004"/>
    <n v="0.507000000000005"/>
    <s v="Crambidae"/>
    <s v="Glaphyria"/>
    <s v="Glaphyria glaphyralis"/>
    <s v="Carposina"/>
    <x v="69"/>
    <x v="0"/>
  </r>
  <r>
    <s v="Zotu2077"/>
    <n v="2077"/>
    <n v="93.37"/>
    <n v="0"/>
    <s v="Oecophoridae"/>
    <s v="Enlopholepis"/>
    <s v="Enlopholepis mediolinea"/>
    <s v="Carposina"/>
    <x v="70"/>
    <x v="0"/>
  </r>
  <r>
    <s v="Zotu991"/>
    <n v="991"/>
    <n v="92.441999999999993"/>
    <n v="4.3999999999996903E-2"/>
    <s v="yes"/>
    <s v="yes"/>
    <s v="Cecidomyiidae sp. BOLD:ACM4097"/>
    <s v="Cecidomyiidae"/>
    <x v="71"/>
    <x v="0"/>
  </r>
  <r>
    <s v="Zotu1306"/>
    <n v="1306"/>
    <n v="93.75"/>
    <n v="93.75"/>
    <m/>
    <m/>
    <m/>
    <s v="Cecidomyiidae"/>
    <x v="72"/>
    <x v="0"/>
  </r>
  <r>
    <s v="Zotu1155"/>
    <n v="1155"/>
    <n v="93.063999999999993"/>
    <n v="4.0999999999996803E-2"/>
    <s v="yes"/>
    <s v="yes"/>
    <s v="yes"/>
    <s v="Cecidomyiidae"/>
    <x v="73"/>
    <x v="0"/>
  </r>
  <r>
    <s v="Zotu942"/>
    <n v="942"/>
    <n v="94.474999999999994"/>
    <n v="3.0999999999991701E-2"/>
    <s v="yes"/>
    <s v="yes"/>
    <s v="Cecidomyiidae sp. HM4"/>
    <s v="Cecidomyiidae"/>
    <x v="74"/>
    <x v="0"/>
  </r>
  <r>
    <s v="Zotu1750"/>
    <n v="1750"/>
    <n v="94.203000000000003"/>
    <n v="0"/>
    <s v="yes"/>
    <s v="yes"/>
    <s v="Centruroides noxius"/>
    <s v="Centruroides"/>
    <x v="75"/>
    <x v="0"/>
  </r>
  <r>
    <s v="Zotu674"/>
    <n v="674"/>
    <n v="92.754000000000005"/>
    <n v="0"/>
    <s v="yes"/>
    <s v="yes"/>
    <s v="Centruroides noxius"/>
    <s v="Centruroides"/>
    <x v="75"/>
    <x v="0"/>
  </r>
  <r>
    <s v="Zotu42"/>
    <n v="42"/>
    <n v="100"/>
    <n v="100"/>
    <m/>
    <m/>
    <m/>
    <s v="Ceracris"/>
    <x v="76"/>
    <x v="0"/>
  </r>
  <r>
    <s v="Zotu137"/>
    <n v="137"/>
    <n v="91.891999999999996"/>
    <n v="0"/>
    <s v="Heptageniidae"/>
    <s v="Rhithrogena"/>
    <s v="Rhithrogena uhari group sp. HIEPT188-10"/>
    <s v="Ceriodaphnia"/>
    <x v="77"/>
    <x v="0"/>
  </r>
  <r>
    <s v="Zotu1707"/>
    <n v="1707"/>
    <n v="95"/>
    <n v="8.4999999999993706E-2"/>
    <s v="Mycetophilidae"/>
    <s v="Allactoneura"/>
    <s v="Allactoneura akasakana"/>
    <s v="Cerodontha"/>
    <x v="78"/>
    <x v="0"/>
  </r>
  <r>
    <s v="Zotu1847"/>
    <n v="1847"/>
    <n v="99.447999999999993"/>
    <n v="1.10499999999999"/>
    <s v="yes"/>
    <s v="yes"/>
    <s v="yes"/>
    <s v="Cheilomenes"/>
    <x v="79"/>
    <x v="0"/>
  </r>
  <r>
    <s v="Zotu1303"/>
    <n v="1303"/>
    <n v="96.132999999999996"/>
    <n v="96.132999999999996"/>
    <m/>
    <m/>
    <m/>
    <s v="Cheloninae"/>
    <x v="80"/>
    <x v="0"/>
  </r>
  <r>
    <s v="Zotu2171"/>
    <n v="2171"/>
    <n v="100"/>
    <n v="0"/>
    <s v="yes"/>
    <s v="yes"/>
    <s v="Cheumatopsyche sp. BOLD:AAA5695"/>
    <s v="Cheumatopsyche"/>
    <x v="81"/>
    <x v="0"/>
  </r>
  <r>
    <s v="Zotu1482"/>
    <n v="1482"/>
    <n v="98.882999999999996"/>
    <n v="0"/>
    <s v="Julidae"/>
    <s v="Cylindroiulus"/>
    <s v="Cylindroiulus sp. BIOUG16141-H05"/>
    <s v="Chilopoda"/>
    <x v="82"/>
    <x v="0"/>
  </r>
  <r>
    <s v="Zotu1682"/>
    <n v="1682"/>
    <n v="97.765000000000001"/>
    <n v="0"/>
    <s v="Julidae"/>
    <s v="Cylindroiulus"/>
    <s v="Cylindroiulus sp. BIOUG16141-H05"/>
    <s v="Chilopoda"/>
    <x v="82"/>
    <x v="0"/>
  </r>
  <r>
    <s v="Zotu1806"/>
    <n v="1806"/>
    <n v="97.765000000000001"/>
    <n v="0"/>
    <s v="Julidae"/>
    <s v="Cylindroiulus"/>
    <s v="Cylindroiulus sp. BIOUG16141-H05"/>
    <s v="Chilopoda"/>
    <x v="82"/>
    <x v="0"/>
  </r>
  <r>
    <s v="Zotu1945"/>
    <n v="1945"/>
    <n v="98.323999999999998"/>
    <n v="0"/>
    <s v="Julidae"/>
    <s v="Cylindroiulus"/>
    <s v="Cylindroiulus sp. BIOUG16141-H05"/>
    <s v="Chilopoda"/>
    <x v="82"/>
    <x v="0"/>
  </r>
  <r>
    <s v="Zotu2355"/>
    <n v="2355"/>
    <n v="97.765000000000001"/>
    <n v="0"/>
    <s v="Julidae"/>
    <s v="Cylindroiulus"/>
    <s v="Cylindroiulus sp. BIOUG16141-H05"/>
    <s v="Chilopoda"/>
    <x v="82"/>
    <x v="0"/>
  </r>
  <r>
    <s v="Zotu528"/>
    <n v="528"/>
    <n v="93.37"/>
    <n v="0.55200000000000704"/>
    <s v="yes"/>
    <s v="Smittia"/>
    <s v="Smittia sp. 25ES"/>
    <s v="Chironomidae"/>
    <x v="83"/>
    <x v="0"/>
  </r>
  <r>
    <s v="Zotu1143"/>
    <n v="1143"/>
    <n v="94.117999999999995"/>
    <n v="1.4709999999999901"/>
    <s v="Canthocamptidae"/>
    <s v="Epactophanes"/>
    <s v="Epactophanes richardi"/>
    <s v="Chironomidae"/>
    <x v="84"/>
    <x v="0"/>
  </r>
  <r>
    <s v="Zotu241"/>
    <n v="241"/>
    <n v="91.209000000000003"/>
    <n v="91.209000000000003"/>
    <m/>
    <m/>
    <m/>
    <s v="Chironomidae"/>
    <x v="85"/>
    <x v="0"/>
  </r>
  <r>
    <s v="Zotu1578"/>
    <n v="1578"/>
    <n v="100"/>
    <n v="0.55200000000000704"/>
    <s v="yes"/>
    <s v="yes"/>
    <s v="Chloroclystis pyrrholopha"/>
    <s v="Chloroclystis"/>
    <x v="86"/>
    <x v="0"/>
  </r>
  <r>
    <s v="Zotu728"/>
    <n v="728"/>
    <n v="100"/>
    <n v="0"/>
    <s v="yes"/>
    <s v="yes"/>
    <s v="Chloropidae sp. sc_06978"/>
    <s v="Chloropidae"/>
    <x v="87"/>
    <x v="0"/>
  </r>
  <r>
    <s v="Zotu1342"/>
    <n v="1342"/>
    <n v="94.856999999999999"/>
    <n v="0.96800000000000397"/>
    <s v="Drosophilidae"/>
    <s v="Drosophila"/>
    <s v="Drosophila soonae"/>
    <s v="Chloropidae"/>
    <x v="88"/>
    <x v="0"/>
  </r>
  <r>
    <s v="Zotu2066"/>
    <n v="2066"/>
    <n v="94.286000000000001"/>
    <n v="0.39700000000000601"/>
    <s v="Drosophilidae"/>
    <s v="Drosophila"/>
    <s v="Drosophila soonae"/>
    <s v="Chloropidae"/>
    <x v="88"/>
    <x v="0"/>
  </r>
  <r>
    <s v="Zotu576"/>
    <n v="576"/>
    <n v="100"/>
    <n v="100"/>
    <m/>
    <m/>
    <m/>
    <s v="Chrysomya"/>
    <x v="89"/>
    <x v="0"/>
  </r>
  <r>
    <s v="Zotu1383"/>
    <n v="1383"/>
    <n v="92.537000000000006"/>
    <n v="0.47400000000000397"/>
    <s v="Scelionidae"/>
    <s v="Telenomus"/>
    <s v="Telenomus sp. BIOUG21352-C07"/>
    <s v="Chthoniidae"/>
    <x v="90"/>
    <x v="0"/>
  </r>
  <r>
    <s v="Zotu1740"/>
    <n v="1740"/>
    <n v="93.332999999999998"/>
    <n v="1.4410000000000001"/>
    <s v="Delphacidae"/>
    <s v="Nilaparvata"/>
    <s v="Nilaparvata bakeri"/>
    <s v="Cicadellidae"/>
    <x v="91"/>
    <x v="0"/>
  </r>
  <r>
    <s v="Zotu2111"/>
    <n v="2111"/>
    <n v="93.332999999999998"/>
    <n v="0"/>
    <s v="yes"/>
    <s v="yes"/>
    <s v="Cinara piniphila"/>
    <s v="Cinara"/>
    <x v="92"/>
    <x v="0"/>
  </r>
  <r>
    <s v="Zotu612"/>
    <n v="612"/>
    <n v="100"/>
    <n v="5.0280000000000102"/>
    <s v="yes"/>
    <s v="yes"/>
    <s v="Clastoptera arborina"/>
    <s v="Clastoptera"/>
    <x v="93"/>
    <x v="0"/>
  </r>
  <r>
    <s v="Zotu2395"/>
    <n v="2395"/>
    <n v="91.138999999999996"/>
    <n v="91.138999999999996"/>
    <m/>
    <m/>
    <m/>
    <s v="Clausocalanus"/>
    <x v="94"/>
    <x v="0"/>
  </r>
  <r>
    <s v="Zotu2575"/>
    <n v="2575"/>
    <n v="93.242999999999995"/>
    <n v="0.59599999999998898"/>
    <s v="Nan"/>
    <s v="Nan"/>
    <s v="Hexanauplia sp."/>
    <s v="Clausocalanus"/>
    <x v="94"/>
    <x v="0"/>
  </r>
  <r>
    <s v="Zotu1805"/>
    <n v="1805"/>
    <n v="95.028000000000006"/>
    <n v="0"/>
    <s v="Erebidae"/>
    <s v="Achaea"/>
    <s v="Achaea catella"/>
    <s v="Cleora"/>
    <x v="95"/>
    <x v="0"/>
  </r>
  <r>
    <s v="Zotu1977"/>
    <n v="1977"/>
    <n v="97.238"/>
    <n v="0"/>
    <s v="yes"/>
    <s v="Xanthorhoe"/>
    <s v="Xanthorhoe labradorensis"/>
    <s v="Cleora"/>
    <x v="95"/>
    <x v="0"/>
  </r>
  <r>
    <s v="Zotu2380"/>
    <n v="2380"/>
    <n v="97.79"/>
    <n v="0"/>
    <s v="yes"/>
    <s v="Xanthorhoe"/>
    <s v="Xanthorhoe labradorensis"/>
    <s v="Cleora"/>
    <x v="95"/>
    <x v="0"/>
  </r>
  <r>
    <s v="Zotu2513"/>
    <n v="2513"/>
    <n v="97.238"/>
    <n v="0"/>
    <s v="yes"/>
    <s v="Xanthorhoe"/>
    <s v="Xanthorhoe labradorensis"/>
    <s v="Cleora"/>
    <x v="95"/>
    <x v="0"/>
  </r>
  <r>
    <s v="Zotu563"/>
    <n v="563"/>
    <n v="95.028000000000006"/>
    <n v="0"/>
    <s v="Erebidae"/>
    <s v="Achaea"/>
    <s v="Achaea catella"/>
    <s v="Cleora"/>
    <x v="95"/>
    <x v="0"/>
  </r>
  <r>
    <s v="Zotu1535"/>
    <n v="1535"/>
    <n v="98.343000000000004"/>
    <n v="7.2320000000000002"/>
    <s v="Nan"/>
    <s v="yes"/>
    <s v="Diptera sp. BOLD:ACI7375"/>
    <s v="Coccinellidae"/>
    <x v="96"/>
    <x v="0"/>
  </r>
  <r>
    <s v="Zotu2146"/>
    <n v="2146"/>
    <n v="100"/>
    <n v="7.7780000000000102"/>
    <s v="yes"/>
    <s v="yes"/>
    <s v="Coccinellidae sp. PSRU-COC001"/>
    <s v="Coccinellidae"/>
    <x v="96"/>
    <x v="0"/>
  </r>
  <r>
    <s v="Zotu1767"/>
    <n v="1767"/>
    <n v="94.412999999999997"/>
    <n v="0.26099999999999601"/>
    <s v="yes"/>
    <s v="Rhyzobius"/>
    <s v="Rhyzobius lophanthae"/>
    <s v="Coccinellidae"/>
    <x v="97"/>
    <x v="0"/>
  </r>
  <r>
    <s v="Zotu634"/>
    <n v="634"/>
    <n v="94.474999999999994"/>
    <n v="3.0999999999991701E-2"/>
    <s v="yes"/>
    <s v="yes"/>
    <s v="yes"/>
    <s v="Coccinellidae"/>
    <x v="97"/>
    <x v="0"/>
  </r>
  <r>
    <s v="Zotu64"/>
    <n v="64"/>
    <n v="94.474999999999994"/>
    <n v="3.0999999999991701E-2"/>
    <s v="yes"/>
    <s v="yes"/>
    <s v="yes"/>
    <s v="Coccinellidae"/>
    <x v="97"/>
    <x v="0"/>
  </r>
  <r>
    <s v="Zotu297"/>
    <n v="297"/>
    <n v="97.221999999999994"/>
    <n v="0"/>
    <s v="Crambidae"/>
    <s v="Haimbachia"/>
    <s v="Haimbachia sp. BOLD:AAI1945"/>
    <s v="Coenipeta"/>
    <x v="98"/>
    <x v="0"/>
  </r>
  <r>
    <s v="Zotu1561"/>
    <n v="1561"/>
    <n v="96.97"/>
    <n v="96.97"/>
    <m/>
    <m/>
    <m/>
    <s v="Coleoptera"/>
    <x v="99"/>
    <x v="0"/>
  </r>
  <r>
    <s v="Zotu2150"/>
    <n v="2150"/>
    <n v="96.97"/>
    <n v="96.97"/>
    <m/>
    <m/>
    <m/>
    <s v="Coleoptera"/>
    <x v="99"/>
    <x v="0"/>
  </r>
  <r>
    <s v="Zotu2281"/>
    <n v="2281"/>
    <n v="96.97"/>
    <n v="3.4220000000000002"/>
    <s v="Pholcidae"/>
    <s v="Nerudia"/>
    <s v="Nerudia sp. 7 BAH-2022a"/>
    <s v="Coleoptera"/>
    <x v="99"/>
    <x v="0"/>
  </r>
  <r>
    <s v="Zotu1283"/>
    <n v="1283"/>
    <n v="95.58"/>
    <n v="0"/>
    <s v="yes"/>
    <s v="yes"/>
    <s v="Colletes simulans"/>
    <s v="Colletes"/>
    <x v="100"/>
    <x v="0"/>
  </r>
  <r>
    <s v="Zotu1640"/>
    <n v="1640"/>
    <n v="92.179000000000002"/>
    <n v="92.179000000000002"/>
    <m/>
    <m/>
    <m/>
    <s v="Colletes"/>
    <x v="100"/>
    <x v="0"/>
  </r>
  <r>
    <s v="Zotu1201"/>
    <n v="1201"/>
    <n v="95.58"/>
    <n v="0.55199999999999205"/>
    <s v="yes"/>
    <s v="Nan"/>
    <s v="Agrypninae sp. BOLD:AAH2439"/>
    <s v="Conoderus"/>
    <x v="101"/>
    <x v="0"/>
  </r>
  <r>
    <s v="Zotu670"/>
    <n v="670"/>
    <n v="96.629000000000005"/>
    <n v="1.123"/>
    <s v="yes"/>
    <s v="Nan"/>
    <s v="Agrypninae sp. BOLD:AAM6639"/>
    <s v="Conoderus"/>
    <x v="101"/>
    <x v="0"/>
  </r>
  <r>
    <s v="Zotu87"/>
    <n v="87"/>
    <n v="96.685000000000002"/>
    <n v="1.105"/>
    <s v="yes"/>
    <s v="Nan"/>
    <s v="Agrypninae sp. BOLD:AAM6639"/>
    <s v="Conoderus"/>
    <x v="101"/>
    <x v="0"/>
  </r>
  <r>
    <s v="Zotu1216"/>
    <n v="1216"/>
    <n v="100"/>
    <n v="100"/>
    <m/>
    <m/>
    <m/>
    <s v="Conomelus"/>
    <x v="102"/>
    <x v="0"/>
  </r>
  <r>
    <s v="Zotu40"/>
    <n v="40"/>
    <n v="94.317999999999998"/>
    <n v="0.42900000000000199"/>
    <s v="Ceratopogonidae"/>
    <s v="Nan"/>
    <m/>
    <s v="Conosia"/>
    <x v="103"/>
    <x v="0"/>
  </r>
  <r>
    <s v="Zotu524"/>
    <n v="524"/>
    <n v="99.453999999999994"/>
    <n v="8.1969999999999903"/>
    <s v="yes"/>
    <s v="Tryphactothrips"/>
    <s v="Tryphactothrips rutherfordi"/>
    <s v="Copidothrips"/>
    <x v="104"/>
    <x v="0"/>
  </r>
  <r>
    <s v="Zotu1986"/>
    <n v="1986"/>
    <n v="91.667000000000002"/>
    <n v="0"/>
    <s v="Chloropidae"/>
    <s v="Dasyopa"/>
    <s v="Dasyopa triangulata"/>
    <s v="Corynoneura"/>
    <x v="105"/>
    <x v="0"/>
  </r>
  <r>
    <s v="Zotu2318"/>
    <n v="2318"/>
    <n v="91.010999999999996"/>
    <n v="0"/>
    <s v="yes"/>
    <s v="yes"/>
    <s v="Cosmocomoidea sp. BBP-180"/>
    <s v="Cosmocomoidea"/>
    <x v="106"/>
    <x v="0"/>
  </r>
  <r>
    <s v="Zotu2431"/>
    <n v="2431"/>
    <n v="91.667000000000002"/>
    <n v="0"/>
    <s v="yes"/>
    <s v="yes"/>
    <s v="Cosmocomoidea sp. BBP-180"/>
    <s v="Cosmocomoidea"/>
    <x v="106"/>
    <x v="0"/>
  </r>
  <r>
    <s v="Zotu320"/>
    <n v="320"/>
    <n v="98.332999999999998"/>
    <n v="0"/>
    <s v="yes"/>
    <s v="yes"/>
    <s v="Cosmopterigidae sp. NIBGE MOT-03424"/>
    <s v="Cosmopterigidae"/>
    <x v="107"/>
    <x v="0"/>
  </r>
  <r>
    <s v="Zotu581"/>
    <n v="581"/>
    <n v="91.227999999999994"/>
    <n v="0"/>
    <s v="Geminigeraceae"/>
    <s v="Teleaulax"/>
    <s v="Teleaulax amphioxeia"/>
    <s v="Cottarellicaris"/>
    <x v="108"/>
    <x v="0"/>
  </r>
  <r>
    <s v="Zotu908"/>
    <n v="908"/>
    <n v="91.891999999999996"/>
    <n v="0.44799999999999301"/>
    <s v="Ichneumonidae"/>
    <s v="Rynchobanchus"/>
    <s v="Rynchobanchus minomensis"/>
    <s v="Cressida"/>
    <x v="109"/>
    <x v="0"/>
  </r>
  <r>
    <s v="Zotu1684"/>
    <n v="1684"/>
    <n v="99.444000000000003"/>
    <n v="3.0000000000001098E-3"/>
    <s v="yes"/>
    <s v="yes"/>
    <s v="yes"/>
    <s v="Cryptachaea"/>
    <x v="110"/>
    <x v="0"/>
  </r>
  <r>
    <s v="Zotu1513"/>
    <n v="1513"/>
    <n v="99.412000000000006"/>
    <n v="1.8000000000000699E-2"/>
    <s v="yes"/>
    <s v="yes"/>
    <s v="yes"/>
    <s v="Cryptachaea"/>
    <x v="111"/>
    <x v="0"/>
  </r>
  <r>
    <s v="Zotu420"/>
    <n v="420"/>
    <n v="100"/>
    <n v="0"/>
    <s v="yes"/>
    <s v="yes"/>
    <s v="Culex territans"/>
    <s v="Culex"/>
    <x v="112"/>
    <x v="0"/>
  </r>
  <r>
    <s v="Zotu1565"/>
    <n v="1565"/>
    <n v="100"/>
    <n v="0"/>
    <s v="yes"/>
    <s v="yes"/>
    <s v="Culex quinquefasciatus"/>
    <s v="Culex"/>
    <x v="113"/>
    <x v="0"/>
  </r>
  <r>
    <s v="Zotu1508"/>
    <n v="1508"/>
    <n v="95"/>
    <n v="0"/>
    <s v="yes"/>
    <s v="yes"/>
    <s v="Curculionidae sp. INDOBIOSYS-CCDB25942-G09"/>
    <s v="Curculionidae"/>
    <x v="114"/>
    <x v="0"/>
  </r>
  <r>
    <s v="Zotu1545"/>
    <n v="1545"/>
    <n v="95"/>
    <n v="0"/>
    <s v="yes"/>
    <s v="yes"/>
    <s v="Curculionidae sp. INDOBIOSYS-CCDB25942-G09"/>
    <s v="Curculionidae"/>
    <x v="114"/>
    <x v="0"/>
  </r>
  <r>
    <s v="Zotu1771"/>
    <n v="1771"/>
    <n v="92.308000000000007"/>
    <n v="0.64100000000000501"/>
    <s v="Cecidomyiidae"/>
    <s v="yes"/>
    <s v="Cecidomyiidae sp. BOLD:ACC3187"/>
    <s v="Curculionidae"/>
    <x v="115"/>
    <x v="0"/>
  </r>
  <r>
    <s v="Zotu412"/>
    <n v="412"/>
    <n v="92.308000000000007"/>
    <n v="0.64100000000000501"/>
    <s v="Cecidomyiidae"/>
    <s v="yes"/>
    <s v="Cecidomyiidae sp. BOLD:ACC3187"/>
    <s v="Curculionidae"/>
    <x v="115"/>
    <x v="0"/>
  </r>
  <r>
    <s v="Zotu1827"/>
    <n v="1827"/>
    <n v="100"/>
    <n v="0"/>
    <s v="yes"/>
    <s v="yes"/>
    <s v="Cypridopsis vidua"/>
    <s v="Cypridopsis"/>
    <x v="116"/>
    <x v="0"/>
  </r>
  <r>
    <s v="Zotu2574"/>
    <n v="2574"/>
    <n v="91.304000000000002"/>
    <n v="0"/>
    <s v="yes"/>
    <s v="Nan"/>
    <s v="Pentatomidae sp. BIOUG21781-C11"/>
    <s v="Dalpada"/>
    <x v="117"/>
    <x v="0"/>
  </r>
  <r>
    <s v="Zotu2400"/>
    <n v="2400"/>
    <n v="95.028000000000006"/>
    <n v="0"/>
    <s v="Drosophilidae"/>
    <s v="Scaptodrosophila"/>
    <s v="Scaptodrosophila latifoliacea"/>
    <s v="Dasyopa"/>
    <x v="118"/>
    <x v="0"/>
  </r>
  <r>
    <s v="Zotu2560"/>
    <n v="2560"/>
    <n v="94.474999999999994"/>
    <n v="0"/>
    <s v="Drosophilidae"/>
    <s v="Scaptodrosophila"/>
    <s v="Scaptodrosophila latifoliacea"/>
    <s v="Dasyopa"/>
    <x v="118"/>
    <x v="0"/>
  </r>
  <r>
    <s v="Zotu268"/>
    <n v="268"/>
    <n v="93.102999999999994"/>
    <n v="1.1949999999999901"/>
    <s v="Dolichopodidae"/>
    <s v="Medetera"/>
    <s v="Medetera melancholica"/>
    <s v="Dasypogon"/>
    <x v="119"/>
    <x v="0"/>
  </r>
  <r>
    <s v="Zotu1468"/>
    <n v="1468"/>
    <n v="91.278999999999996"/>
    <n v="91.278999999999996"/>
    <m/>
    <m/>
    <m/>
    <s v="Delphacidae"/>
    <x v="120"/>
    <x v="0"/>
  </r>
  <r>
    <s v="Zotu2037"/>
    <n v="2037"/>
    <n v="91.379000000000005"/>
    <n v="91.379000000000005"/>
    <m/>
    <m/>
    <m/>
    <s v="Delphacidae"/>
    <x v="120"/>
    <x v="0"/>
  </r>
  <r>
    <s v="Zotu478"/>
    <n v="478"/>
    <n v="96.667000000000002"/>
    <n v="0"/>
    <s v="yes"/>
    <s v="yes"/>
    <s v="Derambila permensata"/>
    <s v="Derambila"/>
    <x v="121"/>
    <x v="0"/>
  </r>
  <r>
    <s v="Zotu1530"/>
    <n v="1530"/>
    <n v="96.647999999999996"/>
    <n v="0.55899999999999705"/>
    <s v="yes"/>
    <s v="yes"/>
    <s v="Diadegma sp. BIOUG14901-C08"/>
    <s v="Diadegma"/>
    <x v="122"/>
    <x v="0"/>
  </r>
  <r>
    <s v="Zotu1022"/>
    <n v="1022"/>
    <n v="95.832999999999998"/>
    <n v="95.832999999999998"/>
    <m/>
    <m/>
    <m/>
    <s v="Diapriidae"/>
    <x v="123"/>
    <x v="0"/>
  </r>
  <r>
    <s v="Zotu1275"/>
    <n v="1275"/>
    <n v="99.447999999999993"/>
    <n v="1.6579999999999899"/>
    <s v="yes"/>
    <s v="yes"/>
    <s v="yes"/>
    <s v="Diatraea"/>
    <x v="124"/>
    <x v="0"/>
  </r>
  <r>
    <s v="Zotu1424"/>
    <n v="1424"/>
    <n v="100"/>
    <n v="1.667"/>
    <s v="yes"/>
    <s v="yes"/>
    <s v="yes"/>
    <s v="Diatraea"/>
    <x v="124"/>
    <x v="0"/>
  </r>
  <r>
    <s v="Zotu1483"/>
    <n v="1483"/>
    <n v="98.352000000000004"/>
    <n v="0.54999999999999705"/>
    <s v="yes"/>
    <s v="yes"/>
    <s v="yes"/>
    <s v="Diatraea"/>
    <x v="124"/>
    <x v="0"/>
  </r>
  <r>
    <s v="Zotu1766"/>
    <n v="1766"/>
    <n v="98.888999999999996"/>
    <n v="1.667"/>
    <s v="yes"/>
    <s v="yes"/>
    <s v="yes"/>
    <s v="Diatraea"/>
    <x v="124"/>
    <x v="0"/>
  </r>
  <r>
    <s v="Zotu348"/>
    <n v="348"/>
    <n v="98.894999999999996"/>
    <n v="1.657"/>
    <s v="yes"/>
    <s v="yes"/>
    <s v="yes"/>
    <s v="Diatraea"/>
    <x v="124"/>
    <x v="0"/>
  </r>
  <r>
    <s v="Zotu427"/>
    <n v="427"/>
    <n v="100"/>
    <n v="1.657"/>
    <s v="yes"/>
    <s v="yes"/>
    <s v="yes"/>
    <s v="Diatraea"/>
    <x v="124"/>
    <x v="0"/>
  </r>
  <r>
    <s v="Zotu594"/>
    <n v="594"/>
    <n v="98.894999999999996"/>
    <n v="1.657"/>
    <s v="yes"/>
    <s v="yes"/>
    <s v="yes"/>
    <s v="Diatraea"/>
    <x v="124"/>
    <x v="0"/>
  </r>
  <r>
    <s v="Zotu2412"/>
    <n v="2412"/>
    <n v="100"/>
    <n v="0.55200000000000704"/>
    <s v="yes"/>
    <s v="yes"/>
    <s v="yes"/>
    <s v="Dichomeris"/>
    <x v="125"/>
    <x v="0"/>
  </r>
  <r>
    <s v="Zotu33"/>
    <n v="33"/>
    <n v="95.587999999999994"/>
    <n v="2.9949999999999899"/>
    <s v="yes"/>
    <s v="yes"/>
    <s v="Dictyna sp."/>
    <s v="Dictyna"/>
    <x v="126"/>
    <x v="0"/>
  </r>
  <r>
    <s v="Zotu416"/>
    <n v="416"/>
    <n v="94.117999999999995"/>
    <n v="2.75999999999999"/>
    <s v="yes"/>
    <s v="yes"/>
    <s v="Dictyna sp."/>
    <s v="Dictyna"/>
    <x v="126"/>
    <x v="0"/>
  </r>
  <r>
    <s v="Zotu1784"/>
    <n v="1784"/>
    <n v="93.923000000000002"/>
    <n v="93.923000000000002"/>
    <m/>
    <m/>
    <m/>
    <s v="Diptera"/>
    <x v="127"/>
    <x v="0"/>
  </r>
  <r>
    <s v="Zotu1524"/>
    <n v="1524"/>
    <n v="95"/>
    <n v="0.52500000000000602"/>
    <s v="Agromyzidae"/>
    <s v="Phytoliriomyza"/>
    <s v="Phytoliriomyza dorsata"/>
    <s v="Discobola"/>
    <x v="128"/>
    <x v="0"/>
  </r>
  <r>
    <s v="Zotu2581"/>
    <n v="2581"/>
    <n v="96.103999999999999"/>
    <n v="1.2989999999999899"/>
    <s v="yes"/>
    <s v="yes"/>
    <s v="Dismodicus alticeps"/>
    <s v="Dismodicus"/>
    <x v="129"/>
    <x v="0"/>
  </r>
  <r>
    <s v="Zotu1451"/>
    <n v="1451"/>
    <n v="96"/>
    <n v="96"/>
    <m/>
    <m/>
    <m/>
    <s v="Dolerus"/>
    <x v="130"/>
    <x v="0"/>
  </r>
  <r>
    <s v="Zotu1343"/>
    <n v="1343"/>
    <n v="97.367999999999995"/>
    <n v="0"/>
    <s v="yes"/>
    <s v="yes"/>
    <s v="Dolerus blanki"/>
    <s v="Dolerus"/>
    <x v="131"/>
    <x v="0"/>
  </r>
  <r>
    <s v="Zotu1176"/>
    <n v="1176"/>
    <n v="97.367999999999995"/>
    <n v="0"/>
    <s v="yes"/>
    <s v="yes"/>
    <s v="Dolerus zhelochovtsevi"/>
    <s v="Dolerus"/>
    <x v="132"/>
    <x v="0"/>
  </r>
  <r>
    <s v="Zotu89"/>
    <n v="89"/>
    <n v="95.58"/>
    <n v="2.4000000000000899E-2"/>
    <s v="yes"/>
    <s v="Chrysotus"/>
    <s v="Chrysotus sp. JSYKA071-09"/>
    <s v="Dolichopodidae"/>
    <x v="133"/>
    <x v="0"/>
  </r>
  <r>
    <s v="Zotu927"/>
    <n v="927"/>
    <n v="95.555999999999997"/>
    <n v="2.4999999999991501E-2"/>
    <s v="yes"/>
    <s v="Chrysotus"/>
    <s v="Chrysotus sp. JSYKA071-09"/>
    <s v="Dolichopodidae"/>
    <x v="133"/>
    <x v="0"/>
  </r>
  <r>
    <s v="Zotu2034"/>
    <n v="2034"/>
    <n v="95.028000000000006"/>
    <n v="0"/>
    <s v="yes"/>
    <s v="yes"/>
    <s v="Dolichopodidae sp. sc_02791"/>
    <s v="Dolichopodidae"/>
    <x v="134"/>
    <x v="0"/>
  </r>
  <r>
    <s v="Zotu2133"/>
    <n v="2133"/>
    <n v="96.685000000000002"/>
    <n v="1.8000000000000699E-2"/>
    <s v="yes"/>
    <s v="yes"/>
    <s v="Sympycninae sp. BIOUG27398-C09"/>
    <s v="Dolichopodidae"/>
    <x v="134"/>
    <x v="0"/>
  </r>
  <r>
    <s v="Zotu406"/>
    <n v="406"/>
    <n v="96.132999999999996"/>
    <n v="0"/>
    <s v="yes"/>
    <s v="yes"/>
    <s v="Sympycninae sp. BOLD-2016"/>
    <s v="Dolichopodidae"/>
    <x v="134"/>
    <x v="0"/>
  </r>
  <r>
    <s v="Zotu1378"/>
    <n v="1378"/>
    <n v="96.022999999999996"/>
    <n v="0.99499999999999"/>
    <s v="Muscidae"/>
    <s v="Limnospila"/>
    <s v="Limnospila albifrons"/>
    <s v="Dolichopodidae"/>
    <x v="135"/>
    <x v="0"/>
  </r>
  <r>
    <s v="Zotu151"/>
    <n v="151"/>
    <n v="95.028000000000006"/>
    <n v="0.55300000000001104"/>
    <s v="yes"/>
    <s v="yes"/>
    <s v="Dolichopodidae sp. BOLD:AAM6780"/>
    <s v="Dolichopodidae"/>
    <x v="135"/>
    <x v="0"/>
  </r>
  <r>
    <s v="Zotu1765"/>
    <n v="1765"/>
    <n v="96.132999999999996"/>
    <n v="0.55299999999999705"/>
    <s v="Muscidae"/>
    <s v="Limnospila"/>
    <s v="Limnospila albifrons"/>
    <s v="Dolichopodidae"/>
    <x v="135"/>
    <x v="0"/>
  </r>
  <r>
    <s v="Zotu1891"/>
    <n v="1891"/>
    <n v="95.58"/>
    <n v="0.55199999999999205"/>
    <s v="Muscidae"/>
    <s v="Limnospila"/>
    <s v="Limnospila albifrons"/>
    <s v="Dolichopodidae"/>
    <x v="135"/>
    <x v="0"/>
  </r>
  <r>
    <s v="Zotu1954"/>
    <n v="1954"/>
    <n v="95.454999999999998"/>
    <n v="0.98000000000000398"/>
    <s v="Muscidae"/>
    <s v="Limnospila"/>
    <s v="Limnospila albifrons"/>
    <s v="Dolichopodidae"/>
    <x v="135"/>
    <x v="0"/>
  </r>
  <r>
    <s v="Zotu2006"/>
    <n v="2006"/>
    <n v="95.454999999999998"/>
    <n v="0.98000000000000398"/>
    <s v="Muscidae"/>
    <s v="Limnospila"/>
    <s v="Limnospila albifrons"/>
    <s v="Dolichopodidae"/>
    <x v="135"/>
    <x v="0"/>
  </r>
  <r>
    <s v="Zotu2047"/>
    <n v="2047"/>
    <n v="95.028000000000006"/>
    <n v="0.55300000000001104"/>
    <s v="Muscidae"/>
    <s v="Limnospila"/>
    <s v="Limnospila albifrons"/>
    <s v="Dolichopodidae"/>
    <x v="135"/>
    <x v="0"/>
  </r>
  <r>
    <s v="Zotu2253"/>
    <n v="2253"/>
    <n v="96.132999999999996"/>
    <n v="0"/>
    <s v="Muscidae"/>
    <s v="Limnospila"/>
    <s v="Limnospila albifrons"/>
    <s v="Dolichopodidae"/>
    <x v="135"/>
    <x v="0"/>
  </r>
  <r>
    <s v="Zotu2270"/>
    <n v="2270"/>
    <n v="95.58"/>
    <n v="0.55199999999999205"/>
    <s v="Muscidae"/>
    <s v="Limnospila"/>
    <s v="Limnospila albifrons"/>
    <s v="Dolichopodidae"/>
    <x v="135"/>
    <x v="0"/>
  </r>
  <r>
    <s v="Zotu2526"/>
    <n v="2526"/>
    <n v="95.58"/>
    <n v="0"/>
    <s v="Muscidae"/>
    <s v="Limnospila"/>
    <s v="Limnospila albifrons"/>
    <s v="Dolichopodidae"/>
    <x v="135"/>
    <x v="0"/>
  </r>
  <r>
    <s v="Zotu754"/>
    <n v="754"/>
    <n v="96.132999999999996"/>
    <n v="0.55299999999999705"/>
    <s v="Muscidae"/>
    <s v="Limnospila"/>
    <s v="Limnospila albifrons"/>
    <s v="Dolichopodidae"/>
    <x v="135"/>
    <x v="0"/>
  </r>
  <r>
    <s v="Zotu925"/>
    <n v="925"/>
    <n v="95.58"/>
    <n v="0.55199999999999205"/>
    <s v="yes"/>
    <s v="yes"/>
    <s v="Dolichopodidae sp. BOLD:AAM6780"/>
    <s v="Dolichopodidae"/>
    <x v="135"/>
    <x v="0"/>
  </r>
  <r>
    <s v="Zotu641"/>
    <n v="641"/>
    <n v="93.37"/>
    <n v="0.55200000000000704"/>
    <s v="yes"/>
    <s v="yes"/>
    <s v="Dolichopodidae sp. BOLD:AAG9621"/>
    <s v="Dolichopodidae"/>
    <x v="136"/>
    <x v="0"/>
  </r>
  <r>
    <s v="Zotu1799"/>
    <n v="1799"/>
    <n v="97.221999999999994"/>
    <n v="0"/>
    <s v="yes"/>
    <s v="yes"/>
    <s v="Drosophila kepulauana"/>
    <s v="Drosophila"/>
    <x v="137"/>
    <x v="0"/>
  </r>
  <r>
    <s v="Zotu795"/>
    <n v="795"/>
    <n v="97.778000000000006"/>
    <n v="0"/>
    <s v="yes"/>
    <s v="yes"/>
    <s v="Drosophila kepulauana"/>
    <s v="Drosophila"/>
    <x v="137"/>
    <x v="0"/>
  </r>
  <r>
    <s v="Zotu1494"/>
    <n v="1494"/>
    <n v="100"/>
    <n v="3.867"/>
    <s v="yes"/>
    <s v="yes"/>
    <s v="Drosophila apodasta"/>
    <s v="Drosophila"/>
    <x v="138"/>
    <x v="0"/>
  </r>
  <r>
    <s v="Zotu1826"/>
    <n v="1826"/>
    <n v="98.894999999999996"/>
    <n v="2.762"/>
    <s v="yes"/>
    <s v="yes"/>
    <s v="Drosophila apodasta"/>
    <s v="Drosophila"/>
    <x v="138"/>
    <x v="0"/>
  </r>
  <r>
    <s v="Zotu2156"/>
    <n v="2156"/>
    <n v="98.894999999999996"/>
    <n v="2.762"/>
    <s v="yes"/>
    <s v="yes"/>
    <s v="Drosophila apodasta"/>
    <s v="Drosophila"/>
    <x v="138"/>
    <x v="0"/>
  </r>
  <r>
    <s v="Zotu2275"/>
    <n v="2275"/>
    <n v="98.894999999999996"/>
    <n v="2.762"/>
    <s v="yes"/>
    <s v="yes"/>
    <s v="Drosophila apodasta"/>
    <s v="Drosophila"/>
    <x v="138"/>
    <x v="0"/>
  </r>
  <r>
    <s v="Zotu1066"/>
    <n v="1066"/>
    <n v="100"/>
    <n v="0"/>
    <s v="yes"/>
    <s v="yes"/>
    <s v="Drosophila rubida"/>
    <s v="Drosophila"/>
    <x v="139"/>
    <x v="0"/>
  </r>
  <r>
    <s v="Zotu1072"/>
    <n v="1072"/>
    <n v="100"/>
    <n v="0"/>
    <s v="yes"/>
    <s v="yes"/>
    <s v="Drosophila rubida"/>
    <s v="Drosophila"/>
    <x v="139"/>
    <x v="0"/>
  </r>
  <r>
    <s v="Zotu2352"/>
    <n v="2352"/>
    <n v="94.971999999999994"/>
    <n v="0.497"/>
    <s v="yes"/>
    <s v="yes"/>
    <s v="Drosophila huckinsi"/>
    <s v="Drosophila"/>
    <x v="140"/>
    <x v="0"/>
  </r>
  <r>
    <s v="Zotu1208"/>
    <n v="1208"/>
    <n v="98.224999999999994"/>
    <n v="1.7749999999999899"/>
    <s v="yes"/>
    <s v="yes"/>
    <s v="Drosophila sechellia"/>
    <s v="Drosophila"/>
    <x v="141"/>
    <x v="0"/>
  </r>
  <r>
    <s v="Zotu1588"/>
    <n v="1588"/>
    <n v="98.894999999999996"/>
    <n v="1.657"/>
    <s v="yes"/>
    <s v="yes"/>
    <s v="Drosophila sechellia"/>
    <s v="Drosophila"/>
    <x v="141"/>
    <x v="0"/>
  </r>
  <r>
    <s v="Zotu635"/>
    <n v="635"/>
    <n v="100"/>
    <n v="1.657"/>
    <s v="yes"/>
    <s v="yes"/>
    <s v="Drosophila sechellia"/>
    <s v="Drosophila"/>
    <x v="141"/>
    <x v="0"/>
  </r>
  <r>
    <s v="Zotu1271"/>
    <n v="1271"/>
    <n v="100"/>
    <n v="100"/>
    <m/>
    <m/>
    <m/>
    <s v="Drosophila"/>
    <x v="142"/>
    <x v="0"/>
  </r>
  <r>
    <s v="Zotu184"/>
    <n v="184"/>
    <n v="100"/>
    <n v="100"/>
    <m/>
    <m/>
    <m/>
    <s v="Drosophila"/>
    <x v="142"/>
    <x v="0"/>
  </r>
  <r>
    <s v="Zotu2411"/>
    <n v="2411"/>
    <n v="97.159000000000006"/>
    <n v="97.159000000000006"/>
    <m/>
    <m/>
    <m/>
    <s v="Drosophila"/>
    <x v="142"/>
    <x v="0"/>
  </r>
  <r>
    <s v="Zotu1886"/>
    <n v="1886"/>
    <n v="98.888999999999996"/>
    <n v="0.55599999999999705"/>
    <s v="yes"/>
    <s v="yes"/>
    <s v="Drosophila cnecopleura"/>
    <s v="Drosophila"/>
    <x v="143"/>
    <x v="0"/>
  </r>
  <r>
    <s v="Zotu2123"/>
    <n v="2123"/>
    <n v="100"/>
    <n v="0.55200000000000704"/>
    <s v="yes"/>
    <s v="yes"/>
    <s v="Drosophila petalopeza"/>
    <s v="Drosophila"/>
    <x v="143"/>
    <x v="0"/>
  </r>
  <r>
    <s v="Zotu376"/>
    <n v="376"/>
    <n v="98.894999999999996"/>
    <n v="1.657"/>
    <s v="Nan"/>
    <s v="Nan"/>
    <s v="Lepidoptera sp. sc_09511"/>
    <s v="Dryadaula"/>
    <x v="144"/>
    <x v="0"/>
  </r>
  <r>
    <s v="Zotu377"/>
    <n v="377"/>
    <n v="98.332999999999998"/>
    <n v="1.6659999999999999"/>
    <s v="Nan"/>
    <s v="Nan"/>
    <s v="Lepidoptera sp. sc_09511"/>
    <s v="Dryadaula"/>
    <x v="144"/>
    <x v="0"/>
  </r>
  <r>
    <s v="Zotu46"/>
    <n v="46"/>
    <n v="100"/>
    <n v="2.762"/>
    <s v="Nan"/>
    <s v="Nan"/>
    <s v="Lepidoptera sp. sc_09511"/>
    <s v="Dryadaula"/>
    <x v="144"/>
    <x v="0"/>
  </r>
  <r>
    <s v="Zotu909"/>
    <n v="909"/>
    <n v="98.894999999999996"/>
    <n v="1.657"/>
    <s v="Nan"/>
    <s v="Nan"/>
    <s v="Lepidoptera sp. sc_09511"/>
    <s v="Dryadaula"/>
    <x v="144"/>
    <x v="0"/>
  </r>
  <r>
    <s v="Zotu602"/>
    <n v="602"/>
    <n v="97.79"/>
    <n v="0.55200000000000704"/>
    <s v="Nan"/>
    <s v="Nan"/>
    <s v="Lepidoptera sp. sc_09511"/>
    <s v="Dryadaula"/>
    <x v="144"/>
    <x v="0"/>
  </r>
  <r>
    <s v="Zotu1433"/>
    <n v="1433"/>
    <n v="91.209000000000003"/>
    <n v="4.9000000000006601E-2"/>
    <s v="yes"/>
    <s v="yes"/>
    <m/>
    <s v="Dryinidae"/>
    <x v="145"/>
    <x v="0"/>
  </r>
  <r>
    <s v="Zotu1522"/>
    <n v="1522"/>
    <n v="94.736999999999995"/>
    <n v="2.8019999999999898"/>
    <s v="Cecidomyiidae"/>
    <s v="Nan"/>
    <s v="Cecidomyiidae sp. BOLD-2016"/>
    <s v="Ectinosoma"/>
    <x v="146"/>
    <x v="0"/>
  </r>
  <r>
    <s v="Zotu1422"/>
    <n v="1422"/>
    <n v="95.652000000000001"/>
    <n v="2.1459999999999999"/>
    <s v="yes"/>
    <s v="yes"/>
    <s v="yes"/>
    <s v="Elateroides"/>
    <x v="147"/>
    <x v="0"/>
  </r>
  <r>
    <s v="Zotu1028"/>
    <n v="1028"/>
    <n v="95.028000000000006"/>
    <n v="0.55300000000001104"/>
    <s v="yes"/>
    <s v="yes"/>
    <s v="yes"/>
    <s v="Elimaea"/>
    <x v="148"/>
    <x v="0"/>
  </r>
  <r>
    <s v="Zotu394"/>
    <n v="394"/>
    <n v="92.221999999999994"/>
    <n v="0.55499999999999305"/>
    <s v="yes"/>
    <s v="yes"/>
    <s v="yes"/>
    <s v="Elimaea"/>
    <x v="148"/>
    <x v="0"/>
  </r>
  <r>
    <s v="Zotu1595"/>
    <n v="1595"/>
    <n v="91.16"/>
    <n v="91.16"/>
    <m/>
    <m/>
    <m/>
    <s v="Elimaea"/>
    <x v="149"/>
    <x v="0"/>
  </r>
  <r>
    <s v="Zotu271"/>
    <n v="271"/>
    <n v="93.332999999999998"/>
    <n v="1.0680000000000001"/>
    <s v="yes"/>
    <s v="yes"/>
    <s v="Elimaea berezovskii"/>
    <s v="Elimaea"/>
    <x v="149"/>
    <x v="0"/>
  </r>
  <r>
    <s v="Zotu316"/>
    <n v="316"/>
    <n v="92.265000000000001"/>
    <n v="0.93600000000000705"/>
    <s v="Rhaphidophoridae"/>
    <s v="Pharmacus"/>
    <s v="Pharmacus senex"/>
    <s v="Elimaea"/>
    <x v="149"/>
    <x v="0"/>
  </r>
  <r>
    <s v="Zotu824"/>
    <n v="824"/>
    <n v="92.221999999999994"/>
    <n v="1.0620000000000001"/>
    <s v="yes"/>
    <s v="yes"/>
    <s v="Elimaea fallax"/>
    <s v="Elimaea"/>
    <x v="149"/>
    <x v="0"/>
  </r>
  <r>
    <s v="Zotu839"/>
    <n v="839"/>
    <n v="93.855000000000004"/>
    <n v="1.1180000000000101"/>
    <s v="yes"/>
    <s v="yes"/>
    <s v="Elimaea berezovskii"/>
    <s v="Elimaea"/>
    <x v="149"/>
    <x v="0"/>
  </r>
  <r>
    <s v="Zotu352"/>
    <n v="352"/>
    <n v="91.712999999999994"/>
    <n v="91.712999999999994"/>
    <m/>
    <m/>
    <m/>
    <s v="Elimaea"/>
    <x v="149"/>
    <x v="0"/>
  </r>
  <r>
    <s v="Zotu370"/>
    <n v="370"/>
    <n v="91.712999999999994"/>
    <n v="91.712999999999994"/>
    <m/>
    <m/>
    <m/>
    <s v="Elimaea"/>
    <x v="149"/>
    <x v="0"/>
  </r>
  <r>
    <s v="Zotu465"/>
    <n v="465"/>
    <n v="91.712999999999994"/>
    <n v="0.60199999999998999"/>
    <s v="Ceratopogonidae"/>
    <s v="Nan"/>
    <s v="Ceratopogonidae sp."/>
    <s v="Elimaea"/>
    <x v="149"/>
    <x v="0"/>
  </r>
  <r>
    <s v="Zotu992"/>
    <n v="992"/>
    <n v="91.712999999999994"/>
    <n v="91.712999999999994"/>
    <m/>
    <m/>
    <m/>
    <s v="Elimaea"/>
    <x v="149"/>
    <x v="0"/>
  </r>
  <r>
    <s v="Zotu1916"/>
    <n v="1916"/>
    <n v="95.028000000000006"/>
    <n v="0.61500000000000898"/>
    <s v="yes"/>
    <s v="Nan"/>
    <s v="Aphelinidae sp. INDOBIOSYS-CCDB25940-E05"/>
    <s v="Encarsia"/>
    <x v="150"/>
    <x v="0"/>
  </r>
  <r>
    <s v="Zotu2600"/>
    <n v="2600"/>
    <n v="95"/>
    <n v="0.55599999999999705"/>
    <s v="yes"/>
    <s v="Nan"/>
    <s v="Aphelinidae sp. BOLD-2016"/>
    <s v="Encarsia"/>
    <x v="150"/>
    <x v="0"/>
  </r>
  <r>
    <s v="Zotu166"/>
    <n v="166"/>
    <n v="91.227999999999994"/>
    <n v="91.227999999999994"/>
    <m/>
    <m/>
    <m/>
    <s v="Endoclita"/>
    <x v="151"/>
    <x v="0"/>
  </r>
  <r>
    <s v="Zotu2523"/>
    <n v="2523"/>
    <n v="93.923000000000002"/>
    <n v="3.4000000000005998E-2"/>
    <s v="Nymphalidae"/>
    <s v="Nymphalis"/>
    <s v="Nymphalis egea"/>
    <s v="Enlopholepis"/>
    <x v="152"/>
    <x v="0"/>
  </r>
  <r>
    <s v="Zotu1272"/>
    <n v="1272"/>
    <n v="96.667000000000002"/>
    <n v="0"/>
    <s v="Noctuidae"/>
    <s v="Nan"/>
    <s v="Noctuidae sp. BOLD:AAU5899"/>
    <s v="Ensipia"/>
    <x v="153"/>
    <x v="0"/>
  </r>
  <r>
    <s v="Zotu2087"/>
    <n v="2087"/>
    <n v="98.894999999999996"/>
    <n v="6.00000000000023E-3"/>
    <s v="yes"/>
    <s v="yes"/>
    <s v="yes"/>
    <s v="Entomobrya"/>
    <x v="154"/>
    <x v="0"/>
  </r>
  <r>
    <s v="Zotu504"/>
    <n v="504"/>
    <n v="100"/>
    <n v="100"/>
    <m/>
    <m/>
    <m/>
    <s v="Entomobrya"/>
    <x v="154"/>
    <x v="0"/>
  </r>
  <r>
    <s v="Zotu168"/>
    <n v="168"/>
    <n v="100"/>
    <n v="100"/>
    <m/>
    <m/>
    <m/>
    <s v="Entomobrya"/>
    <x v="155"/>
    <x v="0"/>
  </r>
  <r>
    <s v="Zotu2353"/>
    <n v="2353"/>
    <n v="91.304000000000002"/>
    <n v="91.304000000000002"/>
    <m/>
    <m/>
    <m/>
    <s v="Eocyzicus"/>
    <x v="156"/>
    <x v="0"/>
  </r>
  <r>
    <s v="Zotu508"/>
    <n v="508"/>
    <n v="100"/>
    <n v="0.55200000000000704"/>
    <s v="yes"/>
    <s v="yes"/>
    <s v="yes"/>
    <s v="Erechthias"/>
    <x v="157"/>
    <x v="0"/>
  </r>
  <r>
    <s v="Zotu931"/>
    <n v="931"/>
    <n v="99.444000000000003"/>
    <n v="0.55500000000000704"/>
    <s v="yes"/>
    <s v="yes"/>
    <s v="yes"/>
    <s v="Erechthias"/>
    <x v="157"/>
    <x v="0"/>
  </r>
  <r>
    <s v="Zotu2535"/>
    <n v="2535"/>
    <n v="92.771000000000001"/>
    <n v="92.771000000000001"/>
    <m/>
    <m/>
    <m/>
    <s v="Eriauchenius"/>
    <x v="158"/>
    <x v="0"/>
  </r>
  <r>
    <s v="Zotu1062"/>
    <n v="1062"/>
    <n v="98.894999999999996"/>
    <n v="0.55199999999999205"/>
    <s v="yes"/>
    <s v="Anisolabella"/>
    <s v="Anisolabella ryukyuensis"/>
    <s v="Euborellia"/>
    <x v="159"/>
    <x v="0"/>
  </r>
  <r>
    <s v="Zotu1191"/>
    <n v="1191"/>
    <n v="98.894999999999996"/>
    <n v="0.55199999999999205"/>
    <s v="yes"/>
    <s v="Anisolabella"/>
    <s v="Anisolabella ryukyuensis"/>
    <s v="Euborellia"/>
    <x v="159"/>
    <x v="0"/>
  </r>
  <r>
    <s v="Zotu1194"/>
    <n v="1194"/>
    <n v="98.894999999999996"/>
    <n v="0.55199999999999205"/>
    <s v="yes"/>
    <s v="Anisolabella"/>
    <s v="Anisolabella ryukyuensis"/>
    <s v="Euborellia"/>
    <x v="159"/>
    <x v="0"/>
  </r>
  <r>
    <s v="Zotu1333"/>
    <n v="1333"/>
    <n v="100"/>
    <n v="0.55200000000000704"/>
    <s v="yes"/>
    <s v="Anisolabella"/>
    <s v="Anisolabella ryukyuensis"/>
    <s v="Euborellia"/>
    <x v="159"/>
    <x v="0"/>
  </r>
  <r>
    <s v="Zotu1541"/>
    <n v="1541"/>
    <n v="100"/>
    <n v="100"/>
    <m/>
    <m/>
    <m/>
    <s v="Eucalliphora"/>
    <x v="160"/>
    <x v="0"/>
  </r>
  <r>
    <s v="Zotu2246"/>
    <n v="2246"/>
    <n v="99.447999999999993"/>
    <n v="99.447999999999993"/>
    <m/>
    <m/>
    <m/>
    <s v="Eucalliphora"/>
    <x v="160"/>
    <x v="0"/>
  </r>
  <r>
    <s v="Zotu2396"/>
    <n v="2396"/>
    <n v="93.37"/>
    <n v="0.55200000000000704"/>
    <s v="Gryllidae"/>
    <s v="Nan"/>
    <s v="Gryllidae sp. sc_04139"/>
    <s v="Eucelatoria"/>
    <x v="161"/>
    <x v="0"/>
  </r>
  <r>
    <s v="Zotu1735"/>
    <n v="1735"/>
    <n v="92.856999999999999"/>
    <n v="92.856999999999999"/>
    <m/>
    <m/>
    <m/>
    <s v="Eupodidae"/>
    <x v="162"/>
    <x v="0"/>
  </r>
  <r>
    <s v="Zotu109"/>
    <n v="109"/>
    <n v="93.37"/>
    <n v="7.3999999999998095E-2"/>
    <s v="yes"/>
    <s v="Nonlygus"/>
    <s v="Nonlygus nubilatus"/>
    <s v="Eurystylus"/>
    <x v="163"/>
    <x v="0"/>
  </r>
  <r>
    <s v="Zotu133"/>
    <n v="133"/>
    <n v="91.86"/>
    <n v="91.86"/>
    <m/>
    <m/>
    <m/>
    <s v="Folsomotoma"/>
    <x v="164"/>
    <x v="0"/>
  </r>
  <r>
    <s v="Zotu1146"/>
    <n v="1146"/>
    <n v="97.296999999999997"/>
    <n v="0"/>
    <s v="yes"/>
    <s v="yes"/>
    <s v="Forelius sp. BOLD:AAO3703"/>
    <s v="Forelius"/>
    <x v="165"/>
    <x v="0"/>
  </r>
  <r>
    <s v="Zotu1086"/>
    <n v="1086"/>
    <n v="91.176000000000002"/>
    <n v="0"/>
    <s v="Entomobryidae"/>
    <s v="Nan"/>
    <s v="Entomobryidae sp. BIOUG12945-C05"/>
    <s v="Gammarus"/>
    <x v="166"/>
    <x v="0"/>
  </r>
  <r>
    <s v="Zotu2109"/>
    <n v="2109"/>
    <n v="91.070999999999998"/>
    <n v="91.070999999999998"/>
    <m/>
    <m/>
    <m/>
    <s v="Gammarus"/>
    <x v="167"/>
    <x v="0"/>
  </r>
  <r>
    <s v="Zotu736"/>
    <n v="736"/>
    <n v="91.802999999999997"/>
    <n v="91.802999999999997"/>
    <m/>
    <m/>
    <m/>
    <s v="Gammarus"/>
    <x v="168"/>
    <x v="0"/>
  </r>
  <r>
    <s v="Zotu2519"/>
    <n v="2519"/>
    <n v="95.454999999999998"/>
    <n v="0.56900000000000295"/>
    <s v="Erebidae"/>
    <s v="Tyrissa"/>
    <s v="Tyrissa carola"/>
    <s v="Gelechiidae"/>
    <x v="169"/>
    <x v="0"/>
  </r>
  <r>
    <s v="Zotu781"/>
    <n v="781"/>
    <n v="91.429000000000002"/>
    <n v="91.429000000000002"/>
    <m/>
    <m/>
    <m/>
    <s v="Ghauriana"/>
    <x v="170"/>
    <x v="0"/>
  </r>
  <r>
    <s v="Zotu1790"/>
    <n v="1790"/>
    <n v="95"/>
    <n v="0.52500000000000602"/>
    <s v="yes"/>
    <s v="yes"/>
    <s v="Glaphyria aff. sequistrialis PS1"/>
    <s v="Glaphyria"/>
    <x v="171"/>
    <x v="0"/>
  </r>
  <r>
    <s v="Zotu238"/>
    <n v="238"/>
    <n v="96.667000000000002"/>
    <n v="0.53400000000000603"/>
    <s v="yes"/>
    <s v="yes"/>
    <s v="Glaphyria aff. sequistrialis PS1"/>
    <s v="Glaphyria"/>
    <x v="171"/>
    <x v="0"/>
  </r>
  <r>
    <s v="Zotu1594"/>
    <n v="1594"/>
    <n v="94.444000000000003"/>
    <n v="9.4000000000008299E-2"/>
    <s v="Carposinidae"/>
    <s v="Carposina"/>
    <s v="Carposina sp. 1 CD-2022a"/>
    <s v="Glaphyria"/>
    <x v="171"/>
    <x v="0"/>
  </r>
  <r>
    <s v="Zotu1256"/>
    <n v="1256"/>
    <n v="99.01"/>
    <n v="0.82800000000000296"/>
    <s v="yes"/>
    <s v="yes"/>
    <s v="yes"/>
    <s v="Glyphiulus"/>
    <x v="172"/>
    <x v="0"/>
  </r>
  <r>
    <s v="Zotu1495"/>
    <n v="1495"/>
    <n v="99.01"/>
    <n v="0.82800000000000296"/>
    <s v="yes"/>
    <s v="yes"/>
    <s v="yes"/>
    <s v="Glyphiulus"/>
    <x v="172"/>
    <x v="0"/>
  </r>
  <r>
    <s v="Zotu855"/>
    <n v="855"/>
    <n v="100"/>
    <n v="0.90900000000000603"/>
    <s v="yes"/>
    <s v="yes"/>
    <s v="yes"/>
    <s v="Glyphiulus"/>
    <x v="172"/>
    <x v="0"/>
  </r>
  <r>
    <s v="Zotu2335"/>
    <n v="2335"/>
    <n v="99.447999999999993"/>
    <n v="0"/>
    <s v="yes"/>
    <s v="yes"/>
    <m/>
    <s v="Glyptapanteles"/>
    <x v="173"/>
    <x v="0"/>
  </r>
  <r>
    <s v="Zotu1034"/>
    <n v="1034"/>
    <n v="91.111000000000004"/>
    <n v="91.111000000000004"/>
    <m/>
    <m/>
    <m/>
    <s v="Gnaptor"/>
    <x v="174"/>
    <x v="0"/>
  </r>
  <r>
    <s v="Zotu932"/>
    <n v="932"/>
    <n v="91.111000000000004"/>
    <n v="91.111000000000004"/>
    <m/>
    <m/>
    <m/>
    <s v="Gnaptor"/>
    <x v="174"/>
    <x v="0"/>
  </r>
  <r>
    <s v="Zotu1016"/>
    <n v="1016"/>
    <n v="93.888999999999996"/>
    <n v="0.51899999999999102"/>
    <s v="yes"/>
    <s v="Alaptus"/>
    <s v="Alaptus sp. BIOUG20999-A04"/>
    <s v="Gonatocerus"/>
    <x v="175"/>
    <x v="0"/>
  </r>
  <r>
    <s v="Zotu2055"/>
    <n v="2055"/>
    <n v="93.332999999999998"/>
    <n v="0.51500000000000101"/>
    <s v="yes"/>
    <s v="Alaptus"/>
    <s v="Alaptus sp. BIOUG20999-A04"/>
    <s v="Gonatocerus"/>
    <x v="175"/>
    <x v="0"/>
  </r>
  <r>
    <s v="Zotu153"/>
    <n v="153"/>
    <n v="91.62"/>
    <n v="0.55899999999999705"/>
    <s v="yes"/>
    <s v="yes"/>
    <s v="yes"/>
    <s v="Gonatopus"/>
    <x v="176"/>
    <x v="0"/>
  </r>
  <r>
    <s v="Zotu1576"/>
    <n v="1576"/>
    <n v="93.888999999999996"/>
    <n v="1.11099999999999"/>
    <s v="yes"/>
    <s v="yes"/>
    <s v="yes"/>
    <s v="Gonatopus"/>
    <x v="176"/>
    <x v="0"/>
  </r>
  <r>
    <s v="Zotu16"/>
    <n v="16"/>
    <n v="92.179000000000002"/>
    <n v="0.55899999999999705"/>
    <s v="yes"/>
    <s v="yes"/>
    <s v="yes"/>
    <s v="Gonatopus"/>
    <x v="176"/>
    <x v="0"/>
  </r>
  <r>
    <s v="Zotu648"/>
    <n v="648"/>
    <n v="91.061000000000007"/>
    <n v="91.061000000000007"/>
    <m/>
    <m/>
    <m/>
    <s v="Gonatopus"/>
    <x v="176"/>
    <x v="0"/>
  </r>
  <r>
    <s v="Zotu1087"/>
    <n v="1087"/>
    <n v="97.79"/>
    <n v="1.105"/>
    <s v="yes"/>
    <s v="yes"/>
    <s v="yes"/>
    <s v="Gonatopus"/>
    <x v="176"/>
    <x v="0"/>
  </r>
  <r>
    <s v="Zotu2327"/>
    <n v="2327"/>
    <n v="100"/>
    <n v="2.7029999999999998"/>
    <s v="Pyronemataceae"/>
    <s v="Pyronema"/>
    <s v="Pyronema omphalodes"/>
    <s v="Graellsia"/>
    <x v="177"/>
    <x v="0"/>
  </r>
  <r>
    <s v="Zotu468"/>
    <n v="468"/>
    <n v="98.343000000000004"/>
    <n v="0.55299999999999705"/>
    <s v="Geometridae"/>
    <s v="Cleora"/>
    <s v="Cleora sublunaria"/>
    <s v="Grammodes"/>
    <x v="178"/>
    <x v="0"/>
  </r>
  <r>
    <s v="Zotu901"/>
    <n v="901"/>
    <n v="97.79"/>
    <n v="0.55200000000000704"/>
    <s v="Geometridae"/>
    <s v="Cleora"/>
    <s v="Cleora sublunaria"/>
    <s v="Grammodes"/>
    <x v="178"/>
    <x v="0"/>
  </r>
  <r>
    <s v="Zotu1299"/>
    <n v="1299"/>
    <n v="93.37"/>
    <n v="0"/>
    <s v="Trigonidiidae"/>
    <s v="Anaxiphomorpha"/>
    <s v="Anaxiphomorpha serratiprotuberus"/>
    <s v="Gryllidae"/>
    <x v="179"/>
    <x v="0"/>
  </r>
  <r>
    <s v="Zotu1779"/>
    <n v="1779"/>
    <n v="94.474999999999994"/>
    <n v="3.0999999999991701E-2"/>
    <s v="Trigonidiidae"/>
    <s v="Abstrigonidium"/>
    <s v="Abstrigonidium chloropodum"/>
    <s v="Gryllidae"/>
    <x v="179"/>
    <x v="0"/>
  </r>
  <r>
    <s v="Zotu1894"/>
    <n v="1894"/>
    <n v="92.817999999999998"/>
    <n v="0"/>
    <s v="Trigonidiidae"/>
    <s v="Rhicnogryllus"/>
    <s v="Rhicnogryllus sp. 2 ZQH-2021j"/>
    <s v="Gryllidae"/>
    <x v="179"/>
    <x v="0"/>
  </r>
  <r>
    <s v="Zotu20"/>
    <n v="20"/>
    <n v="95.028000000000006"/>
    <n v="1.6950000000000101"/>
    <s v="Trigonidiidae"/>
    <s v="Homoeoxipha"/>
    <s v="Homoeoxipha obliterata"/>
    <s v="Gryllidae"/>
    <x v="179"/>
    <x v="0"/>
  </r>
  <r>
    <s v="Zotu2015"/>
    <n v="2015"/>
    <n v="94.474999999999994"/>
    <n v="3.0999999999991701E-2"/>
    <s v="Trigonidiidae"/>
    <s v="Homoeoxipha"/>
    <s v="Homoeoxipha obliterata"/>
    <s v="Gryllidae"/>
    <x v="179"/>
    <x v="0"/>
  </r>
  <r>
    <s v="Zotu396"/>
    <n v="396"/>
    <n v="95.028000000000006"/>
    <n v="2.8000000000005801E-2"/>
    <s v="Trigonidiidae"/>
    <s v="Abstrigonidium"/>
    <s v="Abstrigonidium chloropodum"/>
    <s v="Gryllidae"/>
    <x v="179"/>
    <x v="0"/>
  </r>
  <r>
    <s v="Zotu70"/>
    <n v="70"/>
    <n v="94.474999999999994"/>
    <n v="3.0999999999991701E-2"/>
    <s v="Trigonidiidae"/>
    <s v="Abstrigonidium"/>
    <s v="Abstrigonidium chloropodum"/>
    <s v="Gryllidae"/>
    <x v="179"/>
    <x v="0"/>
  </r>
  <r>
    <s v="Zotu955"/>
    <n v="955"/>
    <n v="91.176000000000002"/>
    <n v="91.176000000000002"/>
    <m/>
    <m/>
    <m/>
    <s v="Haptosquilla"/>
    <x v="180"/>
    <x v="0"/>
  </r>
  <r>
    <s v="Zotu1452"/>
    <n v="1452"/>
    <n v="97.238"/>
    <n v="0.55299999999999705"/>
    <s v="Gelechiidae"/>
    <s v="Gelechia"/>
    <s v="Gelechia mediterranea"/>
    <s v="Hednota"/>
    <x v="181"/>
    <x v="0"/>
  </r>
  <r>
    <s v="Zotu1152"/>
    <n v="1152"/>
    <n v="100"/>
    <n v="100"/>
    <m/>
    <m/>
    <m/>
    <s v="Heliothrips"/>
    <x v="182"/>
    <x v="0"/>
  </r>
  <r>
    <s v="Zotu695"/>
    <n v="695"/>
    <n v="99.447999999999993"/>
    <n v="0.55299999999999705"/>
    <s v="yes"/>
    <s v="yes"/>
    <s v="Hemerobiidae sp. BOLD:AAG0890"/>
    <s v="Hemerobiidae"/>
    <x v="183"/>
    <x v="0"/>
  </r>
  <r>
    <s v="Zotu898"/>
    <n v="898"/>
    <n v="97.221999999999994"/>
    <n v="0"/>
    <s v="Erebidae"/>
    <s v="Graphosia"/>
    <s v="Graphosia stenopepla"/>
    <s v="Hemibela"/>
    <x v="184"/>
    <x v="0"/>
  </r>
  <r>
    <s v="Zotu1047"/>
    <n v="1047"/>
    <n v="94.253"/>
    <n v="94.253"/>
    <m/>
    <m/>
    <m/>
    <s v="Hemiptera"/>
    <x v="185"/>
    <x v="0"/>
  </r>
  <r>
    <s v="Zotu876"/>
    <n v="876"/>
    <n v="96.364000000000004"/>
    <n v="2.024"/>
    <s v="Heptageniidae"/>
    <s v="Stenonema"/>
    <s v="Stenonema femoratum"/>
    <s v="Herrmannella"/>
    <x v="186"/>
    <x v="0"/>
  </r>
  <r>
    <s v="Zotu1293"/>
    <n v="1293"/>
    <n v="91.304000000000002"/>
    <n v="91.304000000000002"/>
    <m/>
    <m/>
    <m/>
    <s v="Heterometrus"/>
    <x v="187"/>
    <x v="0"/>
  </r>
  <r>
    <s v="Zotu1354"/>
    <n v="1354"/>
    <n v="91.176000000000002"/>
    <n v="91.176000000000002"/>
    <m/>
    <m/>
    <m/>
    <s v="Hexanauplia"/>
    <x v="188"/>
    <x v="0"/>
  </r>
  <r>
    <s v="Zotu1596"/>
    <n v="1596"/>
    <n v="93.150999999999996"/>
    <n v="0.96299999999999397"/>
    <s v="Paracalanidae"/>
    <s v="Acrocalanus"/>
    <s v="Acrocalanus andersoni"/>
    <s v="Hexanauplia"/>
    <x v="188"/>
    <x v="0"/>
  </r>
  <r>
    <s v="Zotu1656"/>
    <n v="1656"/>
    <n v="91.176000000000002"/>
    <n v="91.176000000000002"/>
    <m/>
    <m/>
    <m/>
    <s v="Hexanauplia"/>
    <x v="188"/>
    <x v="0"/>
  </r>
  <r>
    <s v="Zotu233"/>
    <n v="233"/>
    <n v="95.349000000000004"/>
    <n v="95.349000000000004"/>
    <m/>
    <m/>
    <m/>
    <s v="Hexanauplia"/>
    <x v="188"/>
    <x v="0"/>
  </r>
  <r>
    <s v="Zotu1844"/>
    <n v="1844"/>
    <n v="92.221999999999994"/>
    <n v="0.50900000000000001"/>
    <s v="Drosophilidae"/>
    <s v="Leucophenga"/>
    <s v="Leucophenga sp. HWC-2012i"/>
    <s v="Homoeoxipha"/>
    <x v="189"/>
    <x v="0"/>
  </r>
  <r>
    <s v="Zotu1884"/>
    <n v="1884"/>
    <n v="94.885999999999996"/>
    <n v="0.96299999999999397"/>
    <s v="Tachinidae"/>
    <s v="Nan"/>
    <s v="Tachinidae sp."/>
    <s v="Homoeoxipha"/>
    <x v="189"/>
    <x v="0"/>
  </r>
  <r>
    <s v="Zotu199"/>
    <n v="199"/>
    <n v="92.221999999999994"/>
    <n v="0.50900000000000001"/>
    <s v="yes"/>
    <s v="Anaxiphomorpha"/>
    <s v="Anaxiphomorpha brevisparamerus"/>
    <s v="Homoeoxipha"/>
    <x v="189"/>
    <x v="0"/>
  </r>
  <r>
    <s v="Zotu2241"/>
    <n v="2241"/>
    <n v="93.182000000000002"/>
    <n v="0.36400000000000399"/>
    <s v="Pipunculidae"/>
    <s v="Chalarus"/>
    <m/>
    <s v="Homoeoxipha"/>
    <x v="189"/>
    <x v="0"/>
  </r>
  <r>
    <s v="Zotu668"/>
    <n v="668"/>
    <n v="91.667000000000002"/>
    <n v="91.667000000000002"/>
    <m/>
    <m/>
    <m/>
    <s v="Homoeoxipha"/>
    <x v="189"/>
    <x v="0"/>
  </r>
  <r>
    <s v="Zotu780"/>
    <n v="780"/>
    <n v="91.667000000000002"/>
    <n v="0.507000000000005"/>
    <s v="yes"/>
    <s v="Anaxiphomorpha"/>
    <s v="Anaxiphomorpha brevisparamerus"/>
    <s v="Homoeoxipha"/>
    <x v="189"/>
    <x v="0"/>
  </r>
  <r>
    <s v="Zotu2260"/>
    <n v="2260"/>
    <n v="100"/>
    <n v="3.125"/>
    <s v="Phalangiidae"/>
    <s v="Odiellus"/>
    <s v="Odiellus spinosus"/>
    <s v="Hyalyris"/>
    <x v="190"/>
    <x v="0"/>
  </r>
  <r>
    <s v="Zotu311"/>
    <n v="311"/>
    <n v="91.304000000000002"/>
    <n v="91.304000000000002"/>
    <m/>
    <m/>
    <m/>
    <s v="Hydroptilidae"/>
    <x v="191"/>
    <x v="0"/>
  </r>
  <r>
    <s v="Zotu1843"/>
    <n v="1843"/>
    <n v="100"/>
    <n v="0.58499999999999397"/>
    <s v="yes"/>
    <s v="Nan"/>
    <s v="Sciaridae sp."/>
    <s v="Hyperlasion"/>
    <x v="192"/>
    <x v="0"/>
  </r>
  <r>
    <s v="Zotu2067"/>
    <n v="2067"/>
    <n v="100"/>
    <n v="0.58499999999999397"/>
    <s v="yes"/>
    <s v="Nan"/>
    <s v="Sciaridae sp."/>
    <s v="Hyperlasion"/>
    <x v="192"/>
    <x v="0"/>
  </r>
  <r>
    <s v="Zotu2369"/>
    <n v="2369"/>
    <n v="99.375"/>
    <n v="0.54500000000000204"/>
    <s v="yes"/>
    <s v="Nan"/>
    <s v="Sciaridae sp."/>
    <s v="Hyperlasion"/>
    <x v="192"/>
    <x v="0"/>
  </r>
  <r>
    <s v="Zotu933"/>
    <n v="933"/>
    <n v="100"/>
    <n v="0"/>
    <s v="yes"/>
    <s v="Nan"/>
    <s v="Sciaridae sp."/>
    <s v="Hyperlasion"/>
    <x v="192"/>
    <x v="0"/>
  </r>
  <r>
    <s v="Zotu2348"/>
    <n v="2348"/>
    <n v="97.238"/>
    <n v="97.238"/>
    <m/>
    <m/>
    <m/>
    <s v="Hysteroneura"/>
    <x v="193"/>
    <x v="0"/>
  </r>
  <r>
    <s v="Zotu2217"/>
    <n v="2217"/>
    <n v="95.385000000000005"/>
    <n v="95.385000000000005"/>
    <m/>
    <m/>
    <m/>
    <s v="Ichneumoninae"/>
    <x v="194"/>
    <x v="0"/>
  </r>
  <r>
    <s v="Zotu1646"/>
    <n v="1646"/>
    <n v="91.070999999999998"/>
    <n v="91.070999999999998"/>
    <m/>
    <m/>
    <m/>
    <s v="Idotea"/>
    <x v="195"/>
    <x v="0"/>
  </r>
  <r>
    <s v="Zotu1909"/>
    <n v="1909"/>
    <n v="99.447999999999993"/>
    <n v="0.55299999999999705"/>
    <s v="yes"/>
    <s v="yes"/>
    <s v="yes"/>
    <s v="Kallitaxila"/>
    <x v="196"/>
    <x v="0"/>
  </r>
  <r>
    <s v="Zotu2165"/>
    <n v="2165"/>
    <n v="99.447999999999993"/>
    <n v="0.55299999999999705"/>
    <s v="yes"/>
    <s v="yes"/>
    <s v="yes"/>
    <s v="Kallitaxila"/>
    <x v="196"/>
    <x v="0"/>
  </r>
  <r>
    <s v="Zotu2312"/>
    <n v="2312"/>
    <n v="97.778000000000006"/>
    <n v="1.093"/>
    <s v="yes"/>
    <s v="Eupithecia"/>
    <s v="Eupithecia bowmani"/>
    <s v="Larentiinae"/>
    <x v="197"/>
    <x v="0"/>
  </r>
  <r>
    <s v="Zotu1675"/>
    <n v="1675"/>
    <n v="91.429000000000002"/>
    <n v="91.429000000000002"/>
    <m/>
    <m/>
    <m/>
    <s v="Lepidocyrtus"/>
    <x v="198"/>
    <x v="0"/>
  </r>
  <r>
    <s v="Zotu1579"/>
    <n v="1579"/>
    <n v="91.765000000000001"/>
    <n v="0.33599999999999902"/>
    <s v="yes"/>
    <s v="yes"/>
    <s v="yes"/>
    <s v="Lepidocyrtus"/>
    <x v="198"/>
    <x v="0"/>
  </r>
  <r>
    <s v="Zotu304"/>
    <n v="304"/>
    <n v="91.525000000000006"/>
    <n v="0"/>
    <s v="yes"/>
    <s v="Pteroxanium"/>
    <s v="Pteroxanium sp. BIOUG07014-E04"/>
    <s v="Lepidopsocidae"/>
    <x v="199"/>
    <x v="0"/>
  </r>
  <r>
    <s v="Zotu99"/>
    <n v="99"/>
    <n v="100"/>
    <n v="0"/>
    <s v="yes"/>
    <s v="yes"/>
    <s v="Lepidopsocidae sp. sc_06380"/>
    <s v="Lepidopsocidae"/>
    <x v="200"/>
    <x v="0"/>
  </r>
  <r>
    <s v="Zotu1614"/>
    <n v="1614"/>
    <n v="97.221999999999994"/>
    <n v="0"/>
    <s v="yes"/>
    <s v="yes"/>
    <s v="Lepidopsocidae sp. sc_08436"/>
    <s v="Lepidopsocidae"/>
    <x v="201"/>
    <x v="0"/>
  </r>
  <r>
    <s v="Zotu18"/>
    <n v="18"/>
    <n v="95.555999999999997"/>
    <n v="0"/>
    <s v="yes"/>
    <s v="yes"/>
    <s v="Lepidopsocidae sp. sc_08436"/>
    <s v="Lepidopsocidae"/>
    <x v="201"/>
    <x v="0"/>
  </r>
  <r>
    <s v="Zotu1012"/>
    <n v="1012"/>
    <n v="100"/>
    <n v="0.55200000000000704"/>
    <s v="yes"/>
    <s v="yes"/>
    <m/>
    <s v="Lepidopsocidae"/>
    <x v="202"/>
    <x v="0"/>
  </r>
  <r>
    <s v="Zotu1412"/>
    <n v="1412"/>
    <n v="100"/>
    <n v="0"/>
    <s v="yes"/>
    <s v="yes"/>
    <m/>
    <s v="Lepidopsocidae"/>
    <x v="202"/>
    <x v="0"/>
  </r>
  <r>
    <s v="Zotu2097"/>
    <n v="2097"/>
    <n v="100"/>
    <n v="0"/>
    <s v="yes"/>
    <s v="yes"/>
    <m/>
    <s v="Lepidopsocidae"/>
    <x v="203"/>
    <x v="0"/>
  </r>
  <r>
    <s v="Zotu122"/>
    <n v="122"/>
    <n v="100"/>
    <n v="0"/>
    <s v="yes"/>
    <s v="yes"/>
    <s v="Lepidopsocidae sp. sc_08438"/>
    <s v="Lepidopsocidae"/>
    <x v="204"/>
    <x v="0"/>
  </r>
  <r>
    <s v="Zotu1546"/>
    <n v="1546"/>
    <n v="97.238"/>
    <n v="1.6000000000005302E-2"/>
    <s v="Cosmopterigidae"/>
    <s v="Labdia"/>
    <s v="Labdia issikii"/>
    <s v="Lepidoptera"/>
    <x v="205"/>
    <x v="0"/>
  </r>
  <r>
    <s v="Zotu2175"/>
    <n v="2175"/>
    <n v="93.37"/>
    <n v="0"/>
    <s v="Pterophoridae"/>
    <s v="Deuterocopus"/>
    <s v="Deuterocopus triannulatus"/>
    <s v="Lepidoptera"/>
    <x v="206"/>
    <x v="0"/>
  </r>
  <r>
    <s v="Zotu1029"/>
    <n v="1029"/>
    <n v="94.474999999999994"/>
    <n v="3.0999999999991701E-2"/>
    <s v="Noctuidae"/>
    <s v="Tarache"/>
    <s v="Tarache cora"/>
    <s v="Lepidoptera"/>
    <x v="207"/>
    <x v="0"/>
  </r>
  <r>
    <s v="Zotu178"/>
    <n v="178"/>
    <n v="95.028000000000006"/>
    <n v="2.8000000000005801E-2"/>
    <s v="Noctuidae"/>
    <s v="Tarache"/>
    <s v="Tarache cora"/>
    <s v="Lepidoptera"/>
    <x v="207"/>
    <x v="0"/>
  </r>
  <r>
    <s v="Zotu1125"/>
    <n v="1125"/>
    <n v="96.685000000000002"/>
    <n v="0"/>
    <s v="Noctuidae"/>
    <s v="yes"/>
    <s v="Noctuidae gen. noctBioLep01 sp. BioLep72"/>
    <s v="Lepidoptera"/>
    <x v="208"/>
    <x v="0"/>
  </r>
  <r>
    <s v="Zotu1341"/>
    <n v="1341"/>
    <n v="96.111000000000004"/>
    <n v="0"/>
    <s v="Noctuidae"/>
    <s v="yes"/>
    <s v="Noctuidae gen. noctBioLep01 sp. BioLep72"/>
    <s v="Lepidoptera"/>
    <x v="208"/>
    <x v="0"/>
  </r>
  <r>
    <s v="Zotu1481"/>
    <n v="1481"/>
    <n v="97.778000000000006"/>
    <n v="0"/>
    <s v="Noctuidae"/>
    <s v="yes"/>
    <s v="Noctuidae gen. noctBioLep01 sp. BioLep72"/>
    <s v="Lepidoptera"/>
    <x v="208"/>
    <x v="0"/>
  </r>
  <r>
    <s v="Zotu1577"/>
    <n v="1577"/>
    <n v="96.685000000000002"/>
    <n v="0"/>
    <s v="Noctuidae"/>
    <s v="yes"/>
    <s v="Noctuidae gen. noctBioLep01 sp. BioLep72"/>
    <s v="Lepidoptera"/>
    <x v="208"/>
    <x v="0"/>
  </r>
  <r>
    <s v="Zotu2030"/>
    <n v="2030"/>
    <n v="96.132999999999996"/>
    <n v="0"/>
    <s v="Noctuidae"/>
    <s v="yes"/>
    <s v="Noctuidae gen. noctBioLep01 sp. BioLep72"/>
    <s v="Lepidoptera"/>
    <x v="208"/>
    <x v="0"/>
  </r>
  <r>
    <s v="Zotu525"/>
    <n v="525"/>
    <n v="96.132999999999996"/>
    <n v="0"/>
    <s v="Noctuidae"/>
    <s v="yes"/>
    <s v="Noctuidae gen. noctBioLep01 sp. BioLep72"/>
    <s v="Lepidoptera"/>
    <x v="208"/>
    <x v="0"/>
  </r>
  <r>
    <s v="Zotu1446"/>
    <n v="1446"/>
    <n v="97.79"/>
    <n v="0"/>
    <s v="Erebidae"/>
    <s v="Arugisa"/>
    <s v="Arugisa latiorella"/>
    <s v="Lepidoptera"/>
    <x v="209"/>
    <x v="0"/>
  </r>
  <r>
    <s v="Zotu1274"/>
    <n v="1274"/>
    <n v="97.700999999999993"/>
    <n v="0"/>
    <m/>
    <m/>
    <m/>
    <s v="Lepidoptera"/>
    <x v="210"/>
    <x v="0"/>
  </r>
  <r>
    <s v="Zotu1617"/>
    <n v="1617"/>
    <n v="98.894999999999996"/>
    <n v="1.10499999999999"/>
    <s v="Nolidae"/>
    <s v="Manoba"/>
    <s v="Manoba sp. BC-2015"/>
    <s v="Lepidoptera"/>
    <x v="211"/>
    <x v="0"/>
  </r>
  <r>
    <s v="Zotu72"/>
    <n v="72"/>
    <n v="93.442999999999998"/>
    <n v="1.13499999999999"/>
    <s v="Brachycentridae"/>
    <s v="Brachycentrus"/>
    <s v="Brachycentrus appalachia"/>
    <s v="Lepidostoma"/>
    <x v="212"/>
    <x v="0"/>
  </r>
  <r>
    <s v="Zotu1550"/>
    <n v="1550"/>
    <n v="92.683000000000007"/>
    <n v="92.683000000000007"/>
    <m/>
    <m/>
    <m/>
    <s v="Lepidostoma"/>
    <x v="213"/>
    <x v="0"/>
  </r>
  <r>
    <s v="Zotu2455"/>
    <n v="2455"/>
    <n v="97.221999999999994"/>
    <n v="7.8999999999993506E-2"/>
    <s v="yes"/>
    <s v="yes"/>
    <s v="yes"/>
    <s v="Leptonema"/>
    <x v="214"/>
    <x v="0"/>
  </r>
  <r>
    <s v="Zotu1445"/>
    <n v="1445"/>
    <n v="94.521000000000001"/>
    <n v="94.521000000000001"/>
    <m/>
    <m/>
    <m/>
    <s v="Leptonetela"/>
    <x v="215"/>
    <x v="0"/>
  </r>
  <r>
    <s v="Zotu1633"/>
    <n v="1633"/>
    <n v="100"/>
    <n v="0.55200000000000704"/>
    <s v="yes"/>
    <s v="yes"/>
    <s v="Leucauge sp. 6 JAB-2021a"/>
    <s v="Leucauge"/>
    <x v="216"/>
    <x v="0"/>
  </r>
  <r>
    <s v="Zotu2551"/>
    <n v="2551"/>
    <n v="96.111000000000004"/>
    <n v="0.53100000000000602"/>
    <s v="yes"/>
    <s v="Cryptophasa"/>
    <s v="Cryptophasa zorodes"/>
    <s v="Lichenaula"/>
    <x v="217"/>
    <x v="0"/>
  </r>
  <r>
    <s v="Zotu2027"/>
    <n v="2027"/>
    <n v="94.474999999999994"/>
    <n v="6.1999999999997599E-2"/>
    <s v="Noctuidae"/>
    <s v="Feralia"/>
    <s v="Feralia februalis"/>
    <s v="Lichenaula"/>
    <x v="218"/>
    <x v="0"/>
  </r>
  <r>
    <s v="Zotu2586"/>
    <n v="2586"/>
    <n v="93.888999999999996"/>
    <n v="3.3999999999991801E-2"/>
    <s v="Noctuidae"/>
    <s v="Feralia"/>
    <s v="Feralia februalis"/>
    <s v="Lichenaula"/>
    <x v="218"/>
    <x v="0"/>
  </r>
  <r>
    <s v="Zotu1054"/>
    <n v="1054"/>
    <n v="95.58"/>
    <n v="2.4000000000000899E-2"/>
    <s v="yes"/>
    <s v="yes"/>
    <s v="yes"/>
    <s v="Limnospila"/>
    <x v="219"/>
    <x v="0"/>
  </r>
  <r>
    <s v="Zotu1611"/>
    <n v="1611"/>
    <n v="95.028000000000006"/>
    <n v="2.8000000000005801E-2"/>
    <s v="Dolichopodidae"/>
    <s v="Nan"/>
    <s v="Sympycninae sp. BIOUG27398-C09"/>
    <s v="Limnospila"/>
    <x v="219"/>
    <x v="0"/>
  </r>
  <r>
    <s v="Zotu2553"/>
    <n v="2553"/>
    <n v="95.028000000000006"/>
    <n v="0"/>
    <s v="Phoridae"/>
    <s v="Megaselia"/>
    <s v="Megaselia sp. BOLD-2016"/>
    <s v="Limnospila"/>
    <x v="219"/>
    <x v="0"/>
  </r>
  <r>
    <s v="Zotu1890"/>
    <n v="1890"/>
    <n v="98.332999999999998"/>
    <n v="0"/>
    <s v="yes"/>
    <s v="yes"/>
    <s v="Limoniidae sp. sc_02065"/>
    <s v="Limoniidae"/>
    <x v="220"/>
    <x v="0"/>
  </r>
  <r>
    <s v="Zotu918"/>
    <n v="918"/>
    <n v="98.332999999999998"/>
    <n v="0"/>
    <s v="yes"/>
    <s v="yes"/>
    <s v="Limoniidae sp. sc_02065"/>
    <s v="Limoniidae"/>
    <x v="220"/>
    <x v="0"/>
  </r>
  <r>
    <s v="Zotu1812"/>
    <n v="1812"/>
    <n v="100"/>
    <n v="0.55200000000000704"/>
    <s v="yes"/>
    <s v="yes"/>
    <s v="yes"/>
    <s v="Litargus"/>
    <x v="221"/>
    <x v="0"/>
  </r>
  <r>
    <s v="Zotu1932"/>
    <n v="1932"/>
    <n v="98.894999999999996"/>
    <n v="0.55199999999999205"/>
    <s v="yes"/>
    <s v="yes"/>
    <s v="yes"/>
    <s v="Litargus"/>
    <x v="221"/>
    <x v="0"/>
  </r>
  <r>
    <s v="Zotu2013"/>
    <n v="2013"/>
    <n v="99.447999999999993"/>
    <n v="0.55299999999999705"/>
    <s v="yes"/>
    <s v="yes"/>
    <s v="yes"/>
    <s v="Litargus"/>
    <x v="221"/>
    <x v="0"/>
  </r>
  <r>
    <s v="Zotu588"/>
    <n v="588"/>
    <n v="91.891999999999996"/>
    <n v="91.891999999999996"/>
    <m/>
    <m/>
    <m/>
    <s v="Lithodes"/>
    <x v="222"/>
    <x v="0"/>
  </r>
  <r>
    <s v="Zotu1978"/>
    <n v="1978"/>
    <n v="92.486000000000004"/>
    <n v="0.57800000000000296"/>
    <s v="yes"/>
    <s v="yes"/>
    <s v="yes"/>
    <s v="Longitarsus"/>
    <x v="223"/>
    <x v="0"/>
  </r>
  <r>
    <s v="Zotu2136"/>
    <n v="2136"/>
    <n v="92.486000000000004"/>
    <n v="0.26400000000001"/>
    <s v="Melandryidae"/>
    <s v="Nan"/>
    <s v="Melandryidae sp. BOLD-2016"/>
    <s v="Longitarsus"/>
    <x v="224"/>
    <x v="0"/>
  </r>
  <r>
    <s v="Zotu128"/>
    <n v="128"/>
    <n v="95.028000000000006"/>
    <n v="2.8000000000005801E-2"/>
    <s v="yes"/>
    <s v="yes"/>
    <s v="yes"/>
    <s v="Lygomusotima"/>
    <x v="225"/>
    <x v="0"/>
  </r>
  <r>
    <s v="Zotu179"/>
    <n v="179"/>
    <n v="94.474999999999994"/>
    <n v="3.0999999999991701E-2"/>
    <s v="Geometridae"/>
    <s v="Nan"/>
    <s v="Geometridae sp. BOLD:AAM6716"/>
    <s v="Lygomusotima"/>
    <x v="225"/>
    <x v="0"/>
  </r>
  <r>
    <s v="Zotu19"/>
    <n v="19"/>
    <n v="94.474999999999994"/>
    <n v="3.0999999999991701E-2"/>
    <s v="yes"/>
    <s v="yes"/>
    <s v="yes"/>
    <s v="Lygomusotima"/>
    <x v="225"/>
    <x v="0"/>
  </r>
  <r>
    <s v="Zotu2190"/>
    <n v="2190"/>
    <n v="94.474999999999994"/>
    <n v="3.0999999999991701E-2"/>
    <s v="yes"/>
    <s v="yes"/>
    <s v="yes"/>
    <s v="Lygomusotima"/>
    <x v="225"/>
    <x v="0"/>
  </r>
  <r>
    <s v="Zotu277"/>
    <n v="277"/>
    <n v="93.37"/>
    <n v="3.7000000000006097E-2"/>
    <s v="Geometridae"/>
    <s v="Nan"/>
    <s v="Geometridae sp. BOLD:AAM6716"/>
    <s v="Lygomusotima"/>
    <x v="225"/>
    <x v="0"/>
  </r>
  <r>
    <s v="Zotu82"/>
    <n v="82"/>
    <n v="94.474999999999994"/>
    <n v="3.0999999999991701E-2"/>
    <s v="yes"/>
    <s v="yes"/>
    <s v="yes"/>
    <s v="Lygomusotima"/>
    <x v="225"/>
    <x v="0"/>
  </r>
  <r>
    <s v="Zotu2170"/>
    <n v="2170"/>
    <n v="93.332999999999998"/>
    <n v="0.113"/>
    <s v="yes"/>
    <s v="yes"/>
    <s v="yes"/>
    <s v="Macracantha"/>
    <x v="226"/>
    <x v="0"/>
  </r>
  <r>
    <s v="Zotu2223"/>
    <n v="2223"/>
    <n v="92.528999999999996"/>
    <n v="0.26399999999999602"/>
    <s v="Gryllidae"/>
    <s v="Nan"/>
    <s v="Gryllidae sp. sc_04139"/>
    <s v="Macrostomus"/>
    <x v="227"/>
    <x v="0"/>
  </r>
  <r>
    <s v="Zotu2040"/>
    <n v="2040"/>
    <n v="98.343000000000004"/>
    <n v="0"/>
    <s v="yes"/>
    <s v="Nan"/>
    <s v="Chrysopidae sp. sc_05639"/>
    <s v="Mallada"/>
    <x v="228"/>
    <x v="0"/>
  </r>
  <r>
    <s v="Zotu1346"/>
    <n v="1346"/>
    <n v="94.971999999999994"/>
    <n v="0.55899999999999705"/>
    <s v="yes"/>
    <s v="yes"/>
    <s v="yes"/>
    <s v="Mantidae gen. mantisJanzen01"/>
    <x v="229"/>
    <x v="0"/>
  </r>
  <r>
    <s v="Zotu2498"/>
    <n v="2498"/>
    <n v="93.855000000000004"/>
    <n v="0.55899999999999705"/>
    <s v="yes"/>
    <s v="yes"/>
    <s v="yes"/>
    <s v="Mantidae gen. mantisJanzen01"/>
    <x v="229"/>
    <x v="0"/>
  </r>
  <r>
    <s v="Zotu894"/>
    <n v="894"/>
    <n v="95.531000000000006"/>
    <n v="0.55900000000001204"/>
    <s v="yes"/>
    <s v="yes"/>
    <s v="yes"/>
    <s v="Mantidae gen. mantisJanzen01"/>
    <x v="229"/>
    <x v="0"/>
  </r>
  <r>
    <s v="Zotu1180"/>
    <n v="1180"/>
    <n v="92.528999999999996"/>
    <n v="0.43899999999999301"/>
    <s v="yes"/>
    <s v="Nan"/>
    <s v="Dolichopodidae sp. BOLD:AAG9621"/>
    <s v="Medetera"/>
    <x v="230"/>
    <x v="0"/>
  </r>
  <r>
    <s v="Zotu842"/>
    <n v="842"/>
    <n v="92.528999999999996"/>
    <n v="0.81600000000000295"/>
    <s v="yes"/>
    <s v="Nan"/>
    <s v="Dolichopodidae sp. BOLD:AAG9621"/>
    <s v="Medetera"/>
    <x v="230"/>
    <x v="0"/>
  </r>
  <r>
    <s v="Zotu2309"/>
    <n v="2309"/>
    <n v="98.343000000000004"/>
    <n v="0"/>
    <s v="yes"/>
    <s v="yes"/>
    <m/>
    <s v="Megaselia"/>
    <x v="231"/>
    <x v="0"/>
  </r>
  <r>
    <s v="Zotu1438"/>
    <n v="1438"/>
    <n v="92.778000000000006"/>
    <n v="0.55600000000001204"/>
    <s v="Chrysomelidae"/>
    <s v="Aphthona"/>
    <s v="Aphthona cyparissiae"/>
    <s v="Melandryidae"/>
    <x v="232"/>
    <x v="0"/>
  </r>
  <r>
    <s v="Zotu2127"/>
    <n v="2127"/>
    <n v="92.778000000000006"/>
    <n v="0.51300000000000501"/>
    <s v="Chrysomelidae"/>
    <s v="Aphthona"/>
    <s v="Aphthona cyparissiae"/>
    <s v="Melandryidae"/>
    <x v="232"/>
    <x v="0"/>
  </r>
  <r>
    <s v="Zotu940"/>
    <n v="940"/>
    <n v="95.376000000000005"/>
    <n v="0.166000000000011"/>
    <s v="yes"/>
    <s v="yes"/>
    <s v="Melyridae sp. BIOUG05385-F01"/>
    <s v="Melyridae"/>
    <x v="233"/>
    <x v="0"/>
  </r>
  <r>
    <s v="Zotu1255"/>
    <n v="1255"/>
    <n v="95.808000000000007"/>
    <n v="0"/>
    <s v="yes"/>
    <s v="yes"/>
    <s v="Melyridae sp. BIOUG17838-E02"/>
    <s v="Melyridae"/>
    <x v="234"/>
    <x v="0"/>
  </r>
  <r>
    <s v="Zotu856"/>
    <n v="856"/>
    <n v="95.21"/>
    <n v="0"/>
    <s v="yes"/>
    <s v="yes"/>
    <s v="Melyridae sp. BIOUG17838-E02"/>
    <s v="Melyridae"/>
    <x v="234"/>
    <x v="0"/>
  </r>
  <r>
    <s v="Zotu1048"/>
    <n v="1048"/>
    <n v="96.512"/>
    <n v="0.95600000000000296"/>
    <s v="yes"/>
    <s v="Cleora"/>
    <s v="Cleora displicata"/>
    <s v="Menophra"/>
    <x v="235"/>
    <x v="0"/>
  </r>
  <r>
    <s v="Zotu1746"/>
    <n v="1746"/>
    <n v="95.93"/>
    <n v="0.93000000000000704"/>
    <s v="yes"/>
    <s v="Cleora"/>
    <s v="Cleora displicata"/>
    <s v="Menophra"/>
    <x v="235"/>
    <x v="0"/>
  </r>
  <r>
    <s v="Zotu2502"/>
    <n v="2502"/>
    <n v="100"/>
    <n v="100"/>
    <m/>
    <m/>
    <m/>
    <s v="Mesostigmata"/>
    <x v="236"/>
    <x v="0"/>
  </r>
  <r>
    <s v="Zotu23"/>
    <n v="23"/>
    <n v="100"/>
    <n v="7.3169999999999904"/>
    <s v="yes"/>
    <s v="Nan"/>
    <s v="Aleurodicinae sp."/>
    <s v="Metaleurodicus"/>
    <x v="237"/>
    <x v="0"/>
  </r>
  <r>
    <s v="Zotu36"/>
    <n v="36"/>
    <n v="98.197999999999993"/>
    <n v="98.197999999999993"/>
    <m/>
    <m/>
    <m/>
    <s v="Metaleurodicus"/>
    <x v="237"/>
    <x v="0"/>
  </r>
  <r>
    <s v="Zotu1384"/>
    <n v="1384"/>
    <n v="93.332999999999998"/>
    <n v="3.69999999999919E-2"/>
    <s v="yes"/>
    <s v="yes"/>
    <s v="yes"/>
    <s v="Metopomyza"/>
    <x v="238"/>
    <x v="0"/>
  </r>
  <r>
    <s v="Zotu2308"/>
    <n v="2308"/>
    <n v="95"/>
    <n v="0.52500000000000602"/>
    <s v="Nan"/>
    <s v="Nan"/>
    <s v="Lepidoptera sp. BOLD:AAA9805"/>
    <s v="Miaromima"/>
    <x v="239"/>
    <x v="0"/>
  </r>
  <r>
    <s v="Zotu2203"/>
    <n v="2203"/>
    <n v="100"/>
    <n v="0"/>
    <s v="yes"/>
    <s v="Thrips"/>
    <s v="Thrips imaginis"/>
    <s v="Microcephalothrips"/>
    <x v="240"/>
    <x v="0"/>
  </r>
  <r>
    <s v="Zotu2567"/>
    <n v="2567"/>
    <n v="99.456999999999994"/>
    <n v="0"/>
    <s v="yes"/>
    <s v="Thrips"/>
    <s v="Thrips imaginis"/>
    <s v="Microcephalothrips"/>
    <x v="240"/>
    <x v="0"/>
  </r>
  <r>
    <s v="Zotu1599"/>
    <n v="1599"/>
    <n v="96.667000000000002"/>
    <n v="0.53400000000000603"/>
    <s v="Erebidae"/>
    <s v="Sympis"/>
    <s v="Sympis rufibasis"/>
    <s v="Microcrambus"/>
    <x v="241"/>
    <x v="0"/>
  </r>
  <r>
    <s v="Zotu702"/>
    <n v="702"/>
    <n v="96.685000000000002"/>
    <n v="0.55200000000000704"/>
    <s v="Geometridae"/>
    <s v="Dichromodes"/>
    <s v="Dichromodes mesogonia"/>
    <s v="Microcrambus"/>
    <x v="241"/>
    <x v="0"/>
  </r>
  <r>
    <s v="Zotu1473"/>
    <n v="1473"/>
    <n v="99.444000000000003"/>
    <n v="4.5869999999999997"/>
    <s v="Geometridae"/>
    <s v="Eupithecia"/>
    <s v="Eupithecia simpliciata"/>
    <s v="Mompha"/>
    <x v="242"/>
    <x v="0"/>
  </r>
  <r>
    <s v="Zotu1622"/>
    <n v="1622"/>
    <n v="98.332999999999998"/>
    <n v="4.6189999999999998"/>
    <s v="Geometridae"/>
    <s v="Geometra"/>
    <s v="Geometra sponsaria"/>
    <s v="Mompha"/>
    <x v="242"/>
    <x v="0"/>
  </r>
  <r>
    <s v="Zotu1662"/>
    <n v="1662"/>
    <n v="100"/>
    <n v="5.1139999999999999"/>
    <s v="Geometridae"/>
    <s v="Eupithecia"/>
    <s v="Eupithecia simpliciata"/>
    <s v="Mompha"/>
    <x v="242"/>
    <x v="0"/>
  </r>
  <r>
    <s v="Zotu266"/>
    <n v="266"/>
    <n v="98.888999999999996"/>
    <n v="4.60299999999999"/>
    <s v="Geometridae"/>
    <s v="Geometra"/>
    <s v="Geometra sponsaria"/>
    <s v="Mompha"/>
    <x v="242"/>
    <x v="0"/>
  </r>
  <r>
    <s v="Zotu1542"/>
    <n v="1542"/>
    <n v="100"/>
    <n v="1.105"/>
    <s v="yes"/>
    <s v="yes"/>
    <s v="yes"/>
    <s v="Monomorium"/>
    <x v="243"/>
    <x v="0"/>
  </r>
  <r>
    <s v="Zotu1984"/>
    <n v="1984"/>
    <n v="100"/>
    <n v="1.105"/>
    <s v="yes"/>
    <s v="Mecyclothorax"/>
    <s v="Mecyclothorax sp. sc_09300"/>
    <s v="Moriomorphini"/>
    <x v="244"/>
    <x v="0"/>
  </r>
  <r>
    <s v="Zotu2499"/>
    <n v="2499"/>
    <n v="99.447999999999993"/>
    <n v="1.10499999999999"/>
    <s v="yes"/>
    <s v="Mecyclothorax"/>
    <s v="Mecyclothorax sp. sc_09300"/>
    <s v="Moriomorphini"/>
    <x v="244"/>
    <x v="0"/>
  </r>
  <r>
    <s v="Zotu1027"/>
    <n v="1027"/>
    <n v="91.070999999999998"/>
    <n v="91.070999999999998"/>
    <m/>
    <m/>
    <m/>
    <s v="Mukaria"/>
    <x v="245"/>
    <x v="0"/>
  </r>
  <r>
    <s v="Zotu1257"/>
    <n v="1257"/>
    <n v="92.856999999999999"/>
    <n v="1.786"/>
    <s v="Lygaeidae"/>
    <s v="Nysius"/>
    <s v="Nysius niger"/>
    <s v="Mukaria"/>
    <x v="245"/>
    <x v="0"/>
  </r>
  <r>
    <s v="Zotu1782"/>
    <n v="1782"/>
    <n v="91.070999999999998"/>
    <n v="91.070999999999998"/>
    <m/>
    <m/>
    <m/>
    <s v="Mukaria"/>
    <x v="245"/>
    <x v="0"/>
  </r>
  <r>
    <s v="Zotu893"/>
    <n v="893"/>
    <n v="92.856999999999999"/>
    <n v="1.786"/>
    <s v="Lygaeidae"/>
    <s v="Nysius"/>
    <s v="Nysius niger"/>
    <s v="Mukaria"/>
    <x v="245"/>
    <x v="0"/>
  </r>
  <r>
    <s v="Zotu904"/>
    <n v="904"/>
    <n v="91.070999999999998"/>
    <n v="91.070999999999998"/>
    <m/>
    <m/>
    <m/>
    <s v="Mukaria"/>
    <x v="245"/>
    <x v="0"/>
  </r>
  <r>
    <s v="Zotu2273"/>
    <n v="2273"/>
    <n v="97.238"/>
    <n v="5.0160000000000098"/>
    <s v="Chironomidae"/>
    <s v="Polypedilum"/>
    <s v="Polypedilum sp. BIOUG27459-B07"/>
    <s v="Mycetophilidae"/>
    <x v="246"/>
    <x v="0"/>
  </r>
  <r>
    <s v="Zotu1629"/>
    <n v="1629"/>
    <n v="99.447999999999993"/>
    <n v="3.3149999999999999"/>
    <s v="yes"/>
    <s v="Nan"/>
    <s v="Cecidomyiidae sp."/>
    <s v="Mycodiplosis"/>
    <x v="247"/>
    <x v="0"/>
  </r>
  <r>
    <s v="Zotu1657"/>
    <n v="1657"/>
    <n v="100"/>
    <n v="3.40900000000001"/>
    <s v="yes"/>
    <s v="Nan"/>
    <s v="Cecidomyiidae sp."/>
    <s v="Mycodiplosis"/>
    <x v="247"/>
    <x v="0"/>
  </r>
  <r>
    <s v="Zotu2151"/>
    <n v="2151"/>
    <n v="93.635999999999996"/>
    <n v="0.57200000000000295"/>
    <s v="yes"/>
    <s v="yes"/>
    <s v="yes"/>
    <s v="Mymaridae"/>
    <x v="248"/>
    <x v="0"/>
  </r>
  <r>
    <s v="Zotu2065"/>
    <n v="2065"/>
    <n v="93.143000000000001"/>
    <n v="0.57200000000000295"/>
    <s v="yes"/>
    <s v="yes"/>
    <s v="Nabis alternatus"/>
    <s v="Nabis"/>
    <x v="249"/>
    <x v="0"/>
  </r>
  <r>
    <s v="Zotu1772"/>
    <n v="1772"/>
    <n v="92.221999999999994"/>
    <n v="0"/>
    <s v="yes"/>
    <s v="Nan"/>
    <s v="Nabidae sp. DB-1719"/>
    <s v="Nabis"/>
    <x v="250"/>
    <x v="0"/>
  </r>
  <r>
    <s v="Zotu2230"/>
    <n v="2230"/>
    <n v="91.061000000000007"/>
    <n v="0"/>
    <s v="yes"/>
    <s v="Nan"/>
    <s v="Nabidae sp. DB-1719"/>
    <s v="Nabis"/>
    <x v="250"/>
    <x v="0"/>
  </r>
  <r>
    <s v="Zotu606"/>
    <n v="606"/>
    <n v="93.296000000000006"/>
    <n v="0"/>
    <s v="yes"/>
    <s v="Nan"/>
    <s v="Nabidae sp. DB-1719"/>
    <s v="Nabis"/>
    <x v="250"/>
    <x v="0"/>
  </r>
  <r>
    <s v="Zotu22"/>
    <n v="22"/>
    <n v="91.712999999999994"/>
    <n v="0.60199999999998999"/>
    <s v="yes"/>
    <s v="Hippodamia"/>
    <s v="Hippodamia arctica"/>
    <s v="Nan"/>
    <x v="251"/>
    <x v="0"/>
  </r>
  <r>
    <s v="Zotu1019"/>
    <n v="1019"/>
    <n v="96.132999999999996"/>
    <n v="0.55299999999999705"/>
    <s v="Erebidae"/>
    <s v="Phalaenostola"/>
    <s v="Phalaenostola metonalis"/>
    <s v="Nematocampa"/>
    <x v="252"/>
    <x v="0"/>
  </r>
  <r>
    <s v="Zotu2095"/>
    <n v="2095"/>
    <n v="93.296000000000006"/>
    <n v="0.51800000000000102"/>
    <s v="Chrysomelidae"/>
    <s v="Aphthona"/>
    <s v="Aphthona cyparissiae"/>
    <s v="Neoblastobasis"/>
    <x v="253"/>
    <x v="0"/>
  </r>
  <r>
    <s v="Zotu358"/>
    <n v="358"/>
    <n v="91.953999999999994"/>
    <n v="0.84299999999998898"/>
    <s v="yes"/>
    <s v="Rugitermes"/>
    <s v="Rugitermes flavicinctus"/>
    <s v="Neotermes"/>
    <x v="254"/>
    <x v="0"/>
  </r>
  <r>
    <s v="Zotu782"/>
    <n v="782"/>
    <n v="93.506"/>
    <n v="1.101"/>
    <s v="Vaejovidae"/>
    <s v="Vaejovis"/>
    <s v="Vaejovis vorhiesi group sp. RWB-2013"/>
    <s v="Nerudia"/>
    <x v="255"/>
    <x v="0"/>
  </r>
  <r>
    <s v="Zotu1993"/>
    <n v="1993"/>
    <n v="94.805000000000007"/>
    <n v="0.21000000000000801"/>
    <s v="yes"/>
    <s v="yes"/>
    <s v="yes"/>
    <s v="Niphargus"/>
    <x v="256"/>
    <x v="0"/>
  </r>
  <r>
    <s v="Zotu2162"/>
    <n v="2162"/>
    <n v="94.805000000000007"/>
    <n v="0.21000000000000801"/>
    <s v="yes"/>
    <s v="yes"/>
    <s v="yes"/>
    <s v="Niphargus"/>
    <x v="256"/>
    <x v="0"/>
  </r>
  <r>
    <s v="Zotu1939"/>
    <n v="1939"/>
    <n v="92.207999999999998"/>
    <n v="0.84999999999999398"/>
    <s v="yes"/>
    <s v="yes"/>
    <s v="Notiopambolus sp. BIOUG46110-E12"/>
    <s v="Notiopambolus"/>
    <x v="257"/>
    <x v="0"/>
  </r>
  <r>
    <s v="Zotu2002"/>
    <n v="2002"/>
    <n v="100"/>
    <n v="100"/>
    <m/>
    <m/>
    <m/>
    <s v="Nymphalis"/>
    <x v="258"/>
    <x v="0"/>
  </r>
  <r>
    <s v="Zotu1554"/>
    <n v="1554"/>
    <n v="91.227999999999994"/>
    <n v="91.227999999999994"/>
    <m/>
    <m/>
    <m/>
    <s v="Nysius"/>
    <x v="259"/>
    <x v="0"/>
  </r>
  <r>
    <s v="Zotu1654"/>
    <n v="1654"/>
    <n v="91.227999999999994"/>
    <n v="91.227999999999994"/>
    <m/>
    <m/>
    <m/>
    <s v="Nysius"/>
    <x v="259"/>
    <x v="0"/>
  </r>
  <r>
    <s v="Zotu1674"/>
    <n v="1674"/>
    <n v="99.447999999999993"/>
    <n v="3.9999999999906803E-3"/>
    <s v="yes"/>
    <s v="yes"/>
    <s v="yes"/>
    <s v="Ochetellus"/>
    <x v="260"/>
    <x v="0"/>
  </r>
  <r>
    <s v="Zotu869"/>
    <n v="869"/>
    <n v="100"/>
    <n v="0.55200000000000704"/>
    <s v="yes"/>
    <s v="yes"/>
    <s v="yes"/>
    <s v="Ochetellus"/>
    <x v="260"/>
    <x v="0"/>
  </r>
  <r>
    <s v="Zotu677"/>
    <n v="677"/>
    <n v="98.295000000000002"/>
    <n v="0.56799999999999795"/>
    <s v="yes"/>
    <s v="Eochrois"/>
    <s v="Eochrois phoenopis"/>
    <s v="Oecophorinae gen. Trachypepla1"/>
    <x v="261"/>
    <x v="0"/>
  </r>
  <r>
    <s v="Zotu53"/>
    <n v="53"/>
    <n v="95"/>
    <n v="0.20199999999999799"/>
    <s v="Pteromalidae"/>
    <s v="Nan"/>
    <s v="Pteromalidae sp. BIOUG25122-G03"/>
    <s v="Ophelimus"/>
    <x v="262"/>
    <x v="0"/>
  </r>
  <r>
    <s v="Zotu175"/>
    <n v="175"/>
    <n v="98.343000000000004"/>
    <n v="1.105"/>
    <s v="yes"/>
    <s v="Melipotis"/>
    <s v="Melipotis fasciolaris"/>
    <s v="Ophiusa"/>
    <x v="263"/>
    <x v="0"/>
  </r>
  <r>
    <s v="Zotu1234"/>
    <n v="1234"/>
    <n v="100"/>
    <n v="0.55200000000000704"/>
    <s v="yes"/>
    <s v="yes"/>
    <s v="yes"/>
    <s v="Opogona"/>
    <x v="264"/>
    <x v="0"/>
  </r>
  <r>
    <s v="Zotu138"/>
    <n v="138"/>
    <n v="100"/>
    <n v="0.55200000000000704"/>
    <s v="yes"/>
    <s v="yes"/>
    <s v="yes"/>
    <s v="Opogona"/>
    <x v="264"/>
    <x v="0"/>
  </r>
  <r>
    <s v="Zotu143"/>
    <n v="143"/>
    <n v="99.447999999999993"/>
    <n v="0"/>
    <s v="yes"/>
    <s v="yes"/>
    <s v="Opogona sacchari"/>
    <s v="Opogona"/>
    <x v="264"/>
    <x v="0"/>
  </r>
  <r>
    <s v="Zotu2088"/>
    <n v="2088"/>
    <n v="100"/>
    <n v="0.57500000000000295"/>
    <s v="yes"/>
    <s v="yes"/>
    <s v="yes"/>
    <s v="Opogona"/>
    <x v="264"/>
    <x v="0"/>
  </r>
  <r>
    <s v="Zotu74"/>
    <n v="74"/>
    <n v="100"/>
    <n v="0"/>
    <s v="yes"/>
    <s v="yes"/>
    <s v="Opogona sacchari"/>
    <s v="Opogona"/>
    <x v="264"/>
    <x v="0"/>
  </r>
  <r>
    <s v="Zotu848"/>
    <n v="848"/>
    <n v="99.447999999999993"/>
    <n v="0.15199999999998701"/>
    <s v="yes"/>
    <s v="yes"/>
    <s v="yes"/>
    <s v="Opogona"/>
    <x v="264"/>
    <x v="0"/>
  </r>
  <r>
    <s v="Zotu1144"/>
    <n v="1144"/>
    <n v="99.447999999999993"/>
    <n v="0.55299999999999705"/>
    <s v="yes"/>
    <s v="yes"/>
    <s v="yes"/>
    <s v="Opogona"/>
    <x v="265"/>
    <x v="0"/>
  </r>
  <r>
    <s v="Zotu1329"/>
    <n v="1329"/>
    <n v="98.894999999999996"/>
    <n v="0.55199999999999205"/>
    <s v="yes"/>
    <s v="yes"/>
    <s v="yes"/>
    <s v="Opogona"/>
    <x v="265"/>
    <x v="0"/>
  </r>
  <r>
    <s v="Zotu1375"/>
    <n v="1375"/>
    <n v="99.447999999999993"/>
    <n v="0.55299999999999705"/>
    <s v="yes"/>
    <s v="yes"/>
    <s v="yes"/>
    <s v="Opogona"/>
    <x v="265"/>
    <x v="0"/>
  </r>
  <r>
    <s v="Zotu1747"/>
    <n v="1747"/>
    <n v="98.343000000000004"/>
    <n v="0.55299999999999705"/>
    <s v="yes"/>
    <s v="yes"/>
    <s v="yes"/>
    <s v="Opogona"/>
    <x v="265"/>
    <x v="0"/>
  </r>
  <r>
    <s v="Zotu207"/>
    <n v="207"/>
    <n v="99.447999999999993"/>
    <n v="0.55299999999999705"/>
    <s v="yes"/>
    <s v="yes"/>
    <s v="yes"/>
    <s v="Opogona"/>
    <x v="265"/>
    <x v="0"/>
  </r>
  <r>
    <s v="Zotu229"/>
    <n v="229"/>
    <n v="100"/>
    <n v="0.55200000000000704"/>
    <s v="yes"/>
    <s v="yes"/>
    <s v="yes"/>
    <s v="Opogona"/>
    <x v="265"/>
    <x v="0"/>
  </r>
  <r>
    <s v="Zotu382"/>
    <n v="382"/>
    <n v="99.444000000000003"/>
    <n v="0.55500000000000704"/>
    <s v="yes"/>
    <s v="yes"/>
    <s v="yes"/>
    <s v="Opogona"/>
    <x v="265"/>
    <x v="0"/>
  </r>
  <r>
    <s v="Zotu447"/>
    <n v="447"/>
    <n v="93.923000000000002"/>
    <n v="0.55299999999999705"/>
    <s v="yes"/>
    <s v="yes"/>
    <s v="yes"/>
    <s v="Opogona"/>
    <x v="265"/>
    <x v="0"/>
  </r>
  <r>
    <s v="Zotu626"/>
    <n v="626"/>
    <n v="99.444000000000003"/>
    <n v="0.55500000000000704"/>
    <s v="yes"/>
    <s v="yes"/>
    <s v="yes"/>
    <s v="Opogona"/>
    <x v="265"/>
    <x v="0"/>
  </r>
  <r>
    <s v="Zotu987"/>
    <n v="987"/>
    <n v="97.79"/>
    <n v="0.55200000000000704"/>
    <s v="yes"/>
    <s v="yes"/>
    <s v="yes"/>
    <s v="Opogona"/>
    <x v="265"/>
    <x v="0"/>
  </r>
  <r>
    <s v="Zotu1880"/>
    <n v="1880"/>
    <n v="92.308000000000007"/>
    <n v="1.2630000000000099"/>
    <s v="Tephritidae"/>
    <s v="Anastrepha"/>
    <s v="Anastrepha raveni"/>
    <s v="Orisarma"/>
    <x v="266"/>
    <x v="0"/>
  </r>
  <r>
    <s v="Zotu1921"/>
    <n v="1921"/>
    <n v="92.308000000000007"/>
    <n v="1.2630000000000099"/>
    <s v="Tephritidae"/>
    <s v="Anastrepha"/>
    <s v="Anastrepha raveni"/>
    <s v="Orisarma"/>
    <x v="266"/>
    <x v="0"/>
  </r>
  <r>
    <s v="Zotu34"/>
    <n v="34"/>
    <n v="94.885999999999996"/>
    <n v="0.41100000000000098"/>
    <s v="yes"/>
    <s v="yes"/>
    <s v="Orius laticollis"/>
    <s v="Orius"/>
    <x v="267"/>
    <x v="0"/>
  </r>
  <r>
    <s v="Zotu1904"/>
    <n v="1904"/>
    <n v="96.177999999999997"/>
    <n v="0.152000000000001"/>
    <s v="Nan"/>
    <s v="Nan"/>
    <s v="Hymenoptera sp."/>
    <s v="Ormosia"/>
    <x v="268"/>
    <x v="0"/>
  </r>
  <r>
    <s v="Zotu746"/>
    <n v="746"/>
    <n v="96.814999999999998"/>
    <n v="0.126000000000005"/>
    <s v="Nan"/>
    <s v="Nan"/>
    <s v="Hymenoptera sp."/>
    <s v="Ormosia"/>
    <x v="268"/>
    <x v="0"/>
  </r>
  <r>
    <s v="Zotu210"/>
    <n v="210"/>
    <n v="98.894999999999996"/>
    <n v="0.55199999999999205"/>
    <s v="yes"/>
    <s v="yes"/>
    <s v="yes"/>
    <s v="Ornebius"/>
    <x v="269"/>
    <x v="0"/>
  </r>
  <r>
    <s v="Zotu598"/>
    <n v="598"/>
    <n v="91.16"/>
    <n v="91.16"/>
    <m/>
    <m/>
    <m/>
    <s v="Orsilochides"/>
    <x v="270"/>
    <x v="0"/>
  </r>
  <r>
    <s v="Zotu1756"/>
    <n v="1756"/>
    <n v="99.447999999999993"/>
    <n v="0"/>
    <s v="yes"/>
    <s v="yes"/>
    <s v="Orthocladiinae sp. BARS_2016_2_091"/>
    <s v="Orthocladiinae"/>
    <x v="271"/>
    <x v="0"/>
  </r>
  <r>
    <s v="Zotu1409"/>
    <n v="1409"/>
    <n v="93.888999999999996"/>
    <n v="0.55599999999999705"/>
    <s v="yes"/>
    <s v="yes"/>
    <s v="yes"/>
    <s v="Orthops"/>
    <x v="272"/>
    <x v="0"/>
  </r>
  <r>
    <s v="Zotu1638"/>
    <n v="1638"/>
    <n v="93.332999999999998"/>
    <n v="0.55499999999999305"/>
    <s v="yes"/>
    <s v="yes"/>
    <s v="yes"/>
    <s v="Orthops"/>
    <x v="272"/>
    <x v="0"/>
  </r>
  <r>
    <s v="Zotu2259"/>
    <n v="2259"/>
    <n v="93.332999999999998"/>
    <n v="0.55499999999999305"/>
    <s v="yes"/>
    <s v="yes"/>
    <s v="yes"/>
    <s v="Orthops"/>
    <x v="272"/>
    <x v="0"/>
  </r>
  <r>
    <s v="Zotu1995"/>
    <n v="1995"/>
    <n v="98.343000000000004"/>
    <n v="0"/>
    <s v="yes"/>
    <s v="yes"/>
    <s v="Osmia sp. 'torchioi'"/>
    <s v="Osmia"/>
    <x v="273"/>
    <x v="0"/>
  </r>
  <r>
    <s v="Zotu2516"/>
    <n v="2516"/>
    <n v="97.174999999999997"/>
    <n v="1.5999999999991101E-2"/>
    <s v="yes"/>
    <s v="yes"/>
    <s v="Osmia atriventris"/>
    <s v="Osmia"/>
    <x v="274"/>
    <x v="0"/>
  </r>
  <r>
    <s v="Zotu1553"/>
    <n v="1553"/>
    <n v="98.343000000000004"/>
    <n v="1.00000000000051E-2"/>
    <s v="yes"/>
    <s v="yes"/>
    <s v="Osmia pentstemonis"/>
    <s v="Osmia"/>
    <x v="275"/>
    <x v="0"/>
  </r>
  <r>
    <s v="Zotu2181"/>
    <n v="2181"/>
    <n v="97.79"/>
    <n v="1.20000000000005E-2"/>
    <s v="yes"/>
    <s v="yes"/>
    <s v="Osmia pentstemonis"/>
    <s v="Osmia"/>
    <x v="275"/>
    <x v="0"/>
  </r>
  <r>
    <s v="Zotu2602"/>
    <n v="2602"/>
    <n v="97.238"/>
    <n v="1.6000000000005302E-2"/>
    <s v="yes"/>
    <s v="yes"/>
    <s v="Osmia pentstemonis"/>
    <s v="Osmia"/>
    <x v="275"/>
    <x v="0"/>
  </r>
  <r>
    <s v="Zotu1215"/>
    <n v="1215"/>
    <n v="98.894999999999996"/>
    <n v="0"/>
    <m/>
    <m/>
    <m/>
    <s v="Oxidus"/>
    <x v="276"/>
    <x v="0"/>
  </r>
  <r>
    <s v="Zotu1350"/>
    <n v="1350"/>
    <n v="98.343000000000004"/>
    <n v="0"/>
    <m/>
    <m/>
    <m/>
    <s v="Oxidus"/>
    <x v="276"/>
    <x v="0"/>
  </r>
  <r>
    <s v="Zotu1730"/>
    <n v="1730"/>
    <n v="100"/>
    <n v="0"/>
    <s v="Chrysididae"/>
    <s v="Trichrysis"/>
    <s v="Trichrysis kylan"/>
    <s v="Oxidus"/>
    <x v="276"/>
    <x v="0"/>
  </r>
  <r>
    <s v="Zotu1999"/>
    <n v="1999"/>
    <n v="100"/>
    <n v="0.64499999999999602"/>
    <s v="Chrysididae"/>
    <s v="Trichrysis"/>
    <s v="Trichrysis kylan"/>
    <s v="Oxidus"/>
    <x v="276"/>
    <x v="0"/>
  </r>
  <r>
    <s v="Zotu538"/>
    <n v="538"/>
    <n v="99.447999999999993"/>
    <n v="0"/>
    <m/>
    <m/>
    <m/>
    <s v="Oxidus"/>
    <x v="276"/>
    <x v="0"/>
  </r>
  <r>
    <s v="Zotu1142"/>
    <n v="1142"/>
    <n v="95"/>
    <n v="0.52500000000000602"/>
    <s v="yes"/>
    <s v="yes"/>
    <s v="Oxyopes sp. ZSI/SRC I-168"/>
    <s v="Oxyopes"/>
    <x v="277"/>
    <x v="0"/>
  </r>
  <r>
    <s v="Zotu2205"/>
    <n v="2205"/>
    <n v="93.888999999999996"/>
    <n v="0.51899999999999102"/>
    <s v="yes"/>
    <s v="yes"/>
    <s v="Oxyopes sp. ZSI/SRC I-168"/>
    <s v="Oxyopes"/>
    <x v="277"/>
    <x v="0"/>
  </r>
  <r>
    <s v="Zotu2322"/>
    <n v="2322"/>
    <n v="93.888999999999996"/>
    <n v="0.51899999999999102"/>
    <s v="yes"/>
    <s v="yes"/>
    <s v="Oxyopes sp. ZSI/SRC I-168"/>
    <s v="Oxyopes"/>
    <x v="277"/>
    <x v="0"/>
  </r>
  <r>
    <s v="Zotu1696"/>
    <n v="1696"/>
    <n v="94.444000000000003"/>
    <n v="0.52100000000000102"/>
    <s v="yes"/>
    <s v="yes"/>
    <s v="Oxyopes sp. ZSI/SRC I-168"/>
    <s v="Oxyopes"/>
    <x v="277"/>
    <x v="0"/>
  </r>
  <r>
    <s v="Zotu1497"/>
    <n v="1497"/>
    <n v="97.872"/>
    <n v="97.872"/>
    <m/>
    <m/>
    <m/>
    <s v="Paguropsis"/>
    <x v="278"/>
    <x v="0"/>
  </r>
  <r>
    <s v="Zotu2172"/>
    <n v="2172"/>
    <n v="95.58"/>
    <n v="0.55199999999999205"/>
    <s v="yes"/>
    <s v="yes"/>
    <s v="yes"/>
    <s v="Palpita"/>
    <x v="279"/>
    <x v="0"/>
  </r>
  <r>
    <s v="Zotu2520"/>
    <n v="2520"/>
    <n v="92.09"/>
    <n v="92.09"/>
    <m/>
    <m/>
    <m/>
    <s v="Papanteles"/>
    <x v="280"/>
    <x v="0"/>
  </r>
  <r>
    <s v="Zotu2263"/>
    <n v="2263"/>
    <n v="100"/>
    <n v="1.105"/>
    <s v="yes"/>
    <s v="Nan"/>
    <s v="Microgastrinae sp. BOLD:AAV2117"/>
    <s v="Parapanteles"/>
    <x v="281"/>
    <x v="0"/>
  </r>
  <r>
    <s v="Zotu706"/>
    <n v="706"/>
    <n v="93.617000000000004"/>
    <n v="93.617000000000004"/>
    <m/>
    <m/>
    <m/>
    <s v="Paratyphlotanais"/>
    <x v="282"/>
    <x v="0"/>
  </r>
  <r>
    <s v="Zotu544"/>
    <n v="544"/>
    <n v="100"/>
    <n v="100"/>
    <m/>
    <m/>
    <m/>
    <s v="Pentalonia"/>
    <x v="283"/>
    <x v="0"/>
  </r>
  <r>
    <s v="Zotu206"/>
    <n v="206"/>
    <n v="99.447999999999993"/>
    <n v="99.447999999999993"/>
    <m/>
    <m/>
    <m/>
    <s v="Periplaneta"/>
    <x v="284"/>
    <x v="0"/>
  </r>
  <r>
    <s v="Zotu800"/>
    <n v="800"/>
    <n v="100"/>
    <n v="100"/>
    <m/>
    <m/>
    <m/>
    <s v="Periplaneta"/>
    <x v="284"/>
    <x v="0"/>
  </r>
  <r>
    <s v="Zotu1416"/>
    <n v="1416"/>
    <n v="100"/>
    <n v="0.54600000000000604"/>
    <s v="yes"/>
    <s v="yes"/>
    <s v="yes"/>
    <s v="Pezothrips"/>
    <x v="285"/>
    <x v="0"/>
  </r>
  <r>
    <s v="Zotu2290"/>
    <n v="2290"/>
    <n v="97.778000000000006"/>
    <n v="0.54000000000000603"/>
    <s v="yes"/>
    <s v="yes"/>
    <s v="yes"/>
    <s v="Philodoria"/>
    <x v="286"/>
    <x v="0"/>
  </r>
  <r>
    <s v="Zotu56"/>
    <n v="56"/>
    <n v="95.028000000000006"/>
    <n v="0"/>
    <s v="yes"/>
    <s v="yes"/>
    <s v="Philodoria nr. basalis AYK-HI10-002"/>
    <s v="Philodoria"/>
    <x v="286"/>
    <x v="0"/>
  </r>
  <r>
    <s v="Zotu1556"/>
    <n v="1556"/>
    <n v="95"/>
    <n v="95"/>
    <m/>
    <m/>
    <m/>
    <s v="Philodromus"/>
    <x v="287"/>
    <x v="0"/>
  </r>
  <r>
    <s v="Zotu1083"/>
    <n v="1083"/>
    <n v="93.923000000000002"/>
    <n v="3.4000000000005998E-2"/>
    <s v="yes"/>
    <s v="yes"/>
    <s v="Philodromus aureolus"/>
    <s v="Philodromus"/>
    <x v="288"/>
    <x v="0"/>
  </r>
  <r>
    <s v="Zotu2313"/>
    <n v="2313"/>
    <n v="93.855000000000004"/>
    <n v="0.48499999999999899"/>
    <s v="yes"/>
    <s v="yes"/>
    <s v="Philodromus vulgaris"/>
    <s v="Philodromus"/>
    <x v="289"/>
    <x v="0"/>
  </r>
  <r>
    <s v="Zotu2501"/>
    <n v="2501"/>
    <n v="92.778000000000006"/>
    <n v="4.1000000000011E-2"/>
    <s v="yes"/>
    <s v="Thanatus"/>
    <s v="Thanatus vulgaris"/>
    <s v="Philodromus"/>
    <x v="289"/>
    <x v="0"/>
  </r>
  <r>
    <s v="Zotu1889"/>
    <n v="1889"/>
    <n v="96.111000000000004"/>
    <n v="0"/>
    <s v="yes"/>
    <s v="yes"/>
    <s v="Philodromus sp. BIOUG32649-E06"/>
    <s v="Philodromus"/>
    <x v="290"/>
    <x v="0"/>
  </r>
  <r>
    <s v="Zotu2506"/>
    <n v="2506"/>
    <n v="93.37"/>
    <n v="3.7000000000006097E-2"/>
    <s v="yes"/>
    <s v="yes"/>
    <s v="Philodromus praelustris"/>
    <s v="Philodromus"/>
    <x v="291"/>
    <x v="0"/>
  </r>
  <r>
    <s v="Zotu1552"/>
    <n v="1552"/>
    <n v="95.555999999999997"/>
    <n v="0.52799999999999203"/>
    <s v="Culicidae"/>
    <s v="Anopheles"/>
    <s v="Anopheles barbirostris"/>
    <s v="Phoridae"/>
    <x v="292"/>
    <x v="0"/>
  </r>
  <r>
    <s v="Zotu2272"/>
    <n v="2272"/>
    <n v="95"/>
    <n v="0.52500000000000602"/>
    <s v="Culicidae"/>
    <s v="Anopheles"/>
    <s v="Anopheles barbirostris"/>
    <s v="Phoridae"/>
    <x v="292"/>
    <x v="0"/>
  </r>
  <r>
    <s v="Zotu1566"/>
    <n v="1566"/>
    <n v="92.778000000000006"/>
    <n v="4.1000000000011E-2"/>
    <s v="Agromyzidae"/>
    <s v="Nemorimyza"/>
    <s v="Nemorimyza posticata"/>
    <s v="Phortica"/>
    <x v="293"/>
    <x v="0"/>
  </r>
  <r>
    <s v="Zotu1023"/>
    <n v="1023"/>
    <n v="95.385000000000005"/>
    <n v="95.385000000000005"/>
    <m/>
    <m/>
    <m/>
    <s v="Phyllonorycter"/>
    <x v="294"/>
    <x v="0"/>
  </r>
  <r>
    <s v="Zotu2207"/>
    <n v="2207"/>
    <n v="97.174999999999997"/>
    <n v="0"/>
    <s v="yes"/>
    <s v="yes"/>
    <m/>
    <s v="Pimplinae"/>
    <x v="295"/>
    <x v="0"/>
  </r>
  <r>
    <s v="Zotu15"/>
    <n v="15"/>
    <n v="92.405000000000001"/>
    <n v="92.405000000000001"/>
    <m/>
    <m/>
    <m/>
    <s v="Piratula"/>
    <x v="296"/>
    <x v="0"/>
  </r>
  <r>
    <s v="Zotu2131"/>
    <n v="2131"/>
    <n v="100"/>
    <n v="0.55200000000000704"/>
    <s v="yes"/>
    <s v="yes"/>
    <s v="yes"/>
    <s v="Plagiolepis"/>
    <x v="297"/>
    <x v="0"/>
  </r>
  <r>
    <s v="Zotu1198"/>
    <n v="1198"/>
    <n v="92"/>
    <n v="0"/>
    <s v="yes"/>
    <s v="yes"/>
    <s v="Platygastridae sp. BOLD:ABV2735"/>
    <s v="Platygastridae"/>
    <x v="298"/>
    <x v="0"/>
  </r>
  <r>
    <s v="Zotu1719"/>
    <n v="1719"/>
    <n v="93.938999999999993"/>
    <n v="93.938999999999993"/>
    <m/>
    <m/>
    <m/>
    <s v="Platygastridae"/>
    <x v="299"/>
    <x v="0"/>
  </r>
  <r>
    <s v="Zotu388"/>
    <n v="388"/>
    <n v="94.317999999999998"/>
    <n v="0.56799999999999795"/>
    <s v="Scelionidae"/>
    <s v="Telenomus"/>
    <s v="Telenomus sp. BIOUG22548-E10"/>
    <s v="Platygastridae"/>
    <x v="300"/>
    <x v="0"/>
  </r>
  <r>
    <s v="Zotu717"/>
    <n v="717"/>
    <n v="92.207999999999998"/>
    <n v="92.207999999999998"/>
    <m/>
    <m/>
    <m/>
    <s v="Pleuromamma"/>
    <x v="301"/>
    <x v="0"/>
  </r>
  <r>
    <s v="Zotu2403"/>
    <n v="2403"/>
    <n v="100"/>
    <n v="100"/>
    <m/>
    <m/>
    <m/>
    <s v="Pollenia"/>
    <x v="302"/>
    <x v="0"/>
  </r>
  <r>
    <s v="Zotu2547"/>
    <n v="2547"/>
    <n v="99.447999999999993"/>
    <n v="99.447999999999993"/>
    <m/>
    <m/>
    <m/>
    <s v="Pollenia"/>
    <x v="302"/>
    <x v="0"/>
  </r>
  <r>
    <s v="Zotu2202"/>
    <n v="2202"/>
    <n v="99.444000000000003"/>
    <n v="3.8639999999999999"/>
    <s v="yes"/>
    <s v="yes"/>
    <s v="Polypedilum kasumiense"/>
    <s v="Polypedilum"/>
    <x v="303"/>
    <x v="0"/>
  </r>
  <r>
    <s v="Zotu2117"/>
    <n v="2117"/>
    <n v="91.667000000000002"/>
    <n v="91.667000000000002"/>
    <m/>
    <m/>
    <m/>
    <s v="Polypedilum"/>
    <x v="304"/>
    <x v="0"/>
  </r>
  <r>
    <s v="Zotu1270"/>
    <n v="1270"/>
    <n v="98.882999999999996"/>
    <n v="98.882999999999996"/>
    <m/>
    <m/>
    <m/>
    <s v="Porcellio"/>
    <x v="305"/>
    <x v="0"/>
  </r>
  <r>
    <s v="Zotu240"/>
    <n v="240"/>
    <n v="98.323999999999998"/>
    <n v="98.323999999999998"/>
    <m/>
    <m/>
    <m/>
    <s v="Porcellio"/>
    <x v="305"/>
    <x v="0"/>
  </r>
  <r>
    <s v="Zotu2478"/>
    <n v="2478"/>
    <n v="97.765000000000001"/>
    <n v="97.765000000000001"/>
    <m/>
    <m/>
    <m/>
    <s v="Porcellio"/>
    <x v="305"/>
    <x v="0"/>
  </r>
  <r>
    <s v="Zotu690"/>
    <n v="690"/>
    <n v="98.332999999999998"/>
    <n v="9.0000000000003393E-3"/>
    <s v="yes"/>
    <s v="yes"/>
    <s v="yes"/>
    <s v="Porcellio"/>
    <x v="305"/>
    <x v="0"/>
  </r>
  <r>
    <s v="Zotu1848"/>
    <n v="1848"/>
    <n v="92.647000000000006"/>
    <n v="92.647000000000006"/>
    <m/>
    <m/>
    <m/>
    <s v="Porcellionides"/>
    <x v="306"/>
    <x v="0"/>
  </r>
  <r>
    <s v="Zotu1963"/>
    <n v="1963"/>
    <n v="100"/>
    <n v="1.657"/>
    <s v="yes"/>
    <s v="yes"/>
    <m/>
    <s v="Pristomerus"/>
    <x v="307"/>
    <x v="0"/>
  </r>
  <r>
    <s v="Zotu224"/>
    <n v="224"/>
    <n v="97.238"/>
    <n v="5.7129999999999903"/>
    <s v="Syrphidae"/>
    <s v="Senaspis"/>
    <s v="Senaspis dibapha"/>
    <s v="Procecidochares"/>
    <x v="308"/>
    <x v="0"/>
  </r>
  <r>
    <s v="Zotu1897"/>
    <n v="1897"/>
    <n v="100"/>
    <n v="0.57099999999999795"/>
    <s v="yes"/>
    <s v="yes"/>
    <s v="yes"/>
    <s v="Proteroiulus"/>
    <x v="309"/>
    <x v="0"/>
  </r>
  <r>
    <s v="Zotu1988"/>
    <n v="1988"/>
    <n v="94.656000000000006"/>
    <n v="1.5130000000000099"/>
    <s v="yes"/>
    <s v="yes"/>
    <s v="yes"/>
    <s v="Proteroiulus"/>
    <x v="309"/>
    <x v="0"/>
  </r>
  <r>
    <s v="Zotu2038"/>
    <n v="2038"/>
    <n v="100"/>
    <n v="0.57099999999999795"/>
    <s v="yes"/>
    <s v="yes"/>
    <s v="yes"/>
    <s v="Proteroiulus"/>
    <x v="309"/>
    <x v="0"/>
  </r>
  <r>
    <s v="Zotu1128"/>
    <n v="1128"/>
    <n v="99.447999999999993"/>
    <n v="99.447999999999993"/>
    <m/>
    <m/>
    <m/>
    <s v="Proutista"/>
    <x v="310"/>
    <x v="0"/>
  </r>
  <r>
    <s v="Zotu1268"/>
    <n v="1268"/>
    <n v="99.447999999999993"/>
    <n v="99.447999999999993"/>
    <m/>
    <m/>
    <m/>
    <s v="Proutista"/>
    <x v="310"/>
    <x v="0"/>
  </r>
  <r>
    <s v="Zotu1724"/>
    <n v="1724"/>
    <n v="99.447999999999993"/>
    <n v="99.447999999999993"/>
    <m/>
    <m/>
    <m/>
    <s v="Proutista"/>
    <x v="310"/>
    <x v="0"/>
  </r>
  <r>
    <s v="Zotu684"/>
    <n v="684"/>
    <n v="99.447999999999993"/>
    <n v="99.447999999999993"/>
    <m/>
    <m/>
    <m/>
    <s v="Proutista"/>
    <x v="310"/>
    <x v="0"/>
  </r>
  <r>
    <s v="Zotu818"/>
    <n v="818"/>
    <n v="100"/>
    <n v="100"/>
    <m/>
    <m/>
    <m/>
    <s v="Proutista"/>
    <x v="310"/>
    <x v="0"/>
  </r>
  <r>
    <s v="Zotu1952"/>
    <n v="1952"/>
    <n v="94.286000000000001"/>
    <n v="0"/>
    <s v="yes"/>
    <s v="yes"/>
    <s v="Psychoda sp. BOLD:AAP4716"/>
    <s v="Psychoda"/>
    <x v="311"/>
    <x v="0"/>
  </r>
  <r>
    <s v="Zotu637"/>
    <n v="637"/>
    <n v="93.888999999999996"/>
    <n v="0"/>
    <s v="yes"/>
    <s v="yes"/>
    <s v="Psychodidae sp. BOLD:ABV1314"/>
    <s v="Psychodidae"/>
    <x v="312"/>
    <x v="0"/>
  </r>
  <r>
    <s v="Zotu1842"/>
    <n v="1842"/>
    <n v="93.332999999999998"/>
    <n v="93.332999999999998"/>
    <m/>
    <m/>
    <m/>
    <s v="Pullimosina"/>
    <x v="313"/>
    <x v="0"/>
  </r>
  <r>
    <s v="Zotu1011"/>
    <n v="1011"/>
    <n v="99.447999999999993"/>
    <n v="0"/>
    <s v="Nan"/>
    <s v="Nan"/>
    <s v="Blattodea environmental sample"/>
    <s v="Pycnoscelus"/>
    <x v="314"/>
    <x v="0"/>
  </r>
  <r>
    <s v="Zotu1818"/>
    <n v="1818"/>
    <n v="92.265000000000001"/>
    <n v="0"/>
    <s v="Blattellidae"/>
    <s v="Blattella"/>
    <s v="Blattella germanica"/>
    <s v="Pycnoscelus"/>
    <x v="314"/>
    <x v="0"/>
  </r>
  <r>
    <s v="Zotu2185"/>
    <n v="2185"/>
    <n v="97.221999999999994"/>
    <n v="0.55499999999999305"/>
    <s v="yes"/>
    <s v="Hylesia"/>
    <s v="Hylesia ebalus"/>
    <s v="Rachesa"/>
    <x v="315"/>
    <x v="0"/>
  </r>
  <r>
    <s v="Zotu2576"/>
    <n v="2576"/>
    <n v="96.667000000000002"/>
    <n v="0.55599999999999705"/>
    <s v="yes"/>
    <s v="Hylesia"/>
    <s v="Hylesia ebalus"/>
    <s v="Rachesa"/>
    <x v="315"/>
    <x v="0"/>
  </r>
  <r>
    <s v="Zotu1316"/>
    <n v="1316"/>
    <n v="97.79"/>
    <n v="0"/>
    <s v="Noctuidae"/>
    <s v="Chaetaglaea"/>
    <s v="Chaetaglaea cerata"/>
    <s v="Rhagastis"/>
    <x v="316"/>
    <x v="0"/>
  </r>
  <r>
    <s v="Zotu1918"/>
    <n v="1918"/>
    <n v="92.778000000000006"/>
    <n v="0.51300000000000501"/>
    <s v="Chloropidae"/>
    <s v="Oscinella"/>
    <s v="Oscinella sp. BIOUG26982-F09"/>
    <s v="Rhamphomyia"/>
    <x v="317"/>
    <x v="0"/>
  </r>
  <r>
    <s v="Zotu2209"/>
    <n v="2209"/>
    <n v="91.781000000000006"/>
    <n v="91.781000000000006"/>
    <m/>
    <m/>
    <m/>
    <s v="Rhithrogena"/>
    <x v="318"/>
    <x v="0"/>
  </r>
  <r>
    <s v="Zotu526"/>
    <n v="526"/>
    <n v="94.03"/>
    <n v="1.383"/>
    <s v="Theridiidae"/>
    <s v="Episinus"/>
    <s v="Episinus algiricus"/>
    <s v="Rhitymna"/>
    <x v="319"/>
    <x v="0"/>
  </r>
  <r>
    <s v="Zotu1803"/>
    <n v="1803"/>
    <n v="92.265000000000001"/>
    <n v="0"/>
    <s v="Empididae"/>
    <s v="Rhamphomyia"/>
    <s v="Rhamphomyia sp. 1 BKC-2015"/>
    <s v="Rhopalopterum"/>
    <x v="320"/>
    <x v="0"/>
  </r>
  <r>
    <s v="Zotu951"/>
    <n v="951"/>
    <n v="99.447999999999993"/>
    <n v="99.447999999999993"/>
    <m/>
    <m/>
    <m/>
    <s v="Rubrocuneocoris"/>
    <x v="321"/>
    <x v="0"/>
  </r>
  <r>
    <s v="Zotu1562"/>
    <n v="1562"/>
    <n v="93.923000000000002"/>
    <n v="93.923000000000002"/>
    <m/>
    <m/>
    <m/>
    <s v="Rugathodes"/>
    <x v="322"/>
    <x v="0"/>
  </r>
  <r>
    <s v="Zotu1615"/>
    <n v="1615"/>
    <n v="93.37"/>
    <n v="93.37"/>
    <m/>
    <m/>
    <m/>
    <s v="Rugathodes"/>
    <x v="322"/>
    <x v="0"/>
  </r>
  <r>
    <s v="Zotu66"/>
    <n v="66"/>
    <n v="96.647999999999996"/>
    <n v="0.53699999999999204"/>
    <s v="yes"/>
    <s v="yes"/>
    <s v="yes"/>
    <s v="Rugathodes"/>
    <x v="322"/>
    <x v="0"/>
  </r>
  <r>
    <s v="Zotu198"/>
    <n v="198"/>
    <n v="94.117999999999995"/>
    <n v="2.75999999999999"/>
    <s v="Laelapidae"/>
    <s v="Laelaps"/>
    <s v="Laelaps muricola"/>
    <s v="Rynchobanchus"/>
    <x v="323"/>
    <x v="0"/>
  </r>
  <r>
    <s v="Zotu215"/>
    <n v="215"/>
    <n v="91.444000000000003"/>
    <n v="0.41800000000000598"/>
    <s v="Papilionidae"/>
    <s v="Cressida"/>
    <s v="Cressida cressida"/>
    <s v="Rynchobanchus"/>
    <x v="323"/>
    <x v="0"/>
  </r>
  <r>
    <s v="Zotu195"/>
    <n v="195"/>
    <n v="91.176000000000002"/>
    <n v="91.176000000000002"/>
    <m/>
    <m/>
    <m/>
    <s v="Saccharosydne"/>
    <x v="324"/>
    <x v="0"/>
  </r>
  <r>
    <s v="Zotu1050"/>
    <n v="1050"/>
    <n v="98.894999999999996"/>
    <n v="0"/>
    <s v="yes"/>
    <s v="yes"/>
    <s v="Sarcophaga peregrina"/>
    <s v="Sarcophaga"/>
    <x v="325"/>
    <x v="0"/>
  </r>
  <r>
    <s v="Zotu601"/>
    <n v="601"/>
    <n v="98.343000000000004"/>
    <n v="0.55299999999999705"/>
    <s v="yes"/>
    <s v="Nan"/>
    <s v="Sarcophagidae sp. BIOUG08959-B12"/>
    <s v="Sarcophaga"/>
    <x v="326"/>
    <x v="0"/>
  </r>
  <r>
    <s v="Zotu880"/>
    <n v="880"/>
    <n v="100"/>
    <n v="0.55200000000000704"/>
    <s v="yes"/>
    <s v="yes"/>
    <s v="Sarcophaga formosensis"/>
    <s v="Sarcophaga"/>
    <x v="326"/>
    <x v="0"/>
  </r>
  <r>
    <s v="Zotu2414"/>
    <n v="2414"/>
    <n v="95.58"/>
    <n v="2.4000000000000899E-2"/>
    <s v="Culicidae"/>
    <s v="Anopheles"/>
    <s v="Anopheles medialis"/>
    <s v="Scaptodrosophila"/>
    <x v="327"/>
    <x v="0"/>
  </r>
  <r>
    <s v="Zotu1319"/>
    <n v="1319"/>
    <n v="93.923000000000002"/>
    <n v="0.55299999999999705"/>
    <s v="yes"/>
    <s v="yes"/>
    <s v="Scaptomyza scoloplichas"/>
    <s v="Scaptomyza"/>
    <x v="328"/>
    <x v="0"/>
  </r>
  <r>
    <s v="Zotu1608"/>
    <n v="1608"/>
    <n v="93.888999999999996"/>
    <n v="0"/>
    <s v="yes"/>
    <s v="yes"/>
    <m/>
    <s v="Scaptomyza"/>
    <x v="329"/>
    <x v="0"/>
  </r>
  <r>
    <s v="Zotu1855"/>
    <n v="1855"/>
    <n v="96.685000000000002"/>
    <n v="96.685000000000002"/>
    <m/>
    <m/>
    <m/>
    <s v="Scaptomyza"/>
    <x v="330"/>
    <x v="0"/>
  </r>
  <r>
    <s v="Zotu1134"/>
    <n v="1134"/>
    <n v="98.343000000000004"/>
    <n v="4.9729999999999999"/>
    <s v="yes"/>
    <s v="yes"/>
    <s v="Scaptomyza cyrtandrae"/>
    <s v="Scaptomyza"/>
    <x v="331"/>
    <x v="0"/>
  </r>
  <r>
    <s v="Zotu625"/>
    <n v="625"/>
    <n v="98.343000000000004"/>
    <n v="1.00000000000051E-2"/>
    <s v="Nan"/>
    <s v="Nan"/>
    <s v="Lepidoptera sp. BOLD:AAA0427"/>
    <s v="Sceliodes"/>
    <x v="332"/>
    <x v="0"/>
  </r>
  <r>
    <s v="Zotu118"/>
    <n v="118"/>
    <n v="99.447999999999993"/>
    <n v="99.447999999999993"/>
    <m/>
    <m/>
    <m/>
    <s v="Schrankia"/>
    <x v="333"/>
    <x v="0"/>
  </r>
  <r>
    <s v="Zotu1484"/>
    <n v="1484"/>
    <n v="98.343000000000004"/>
    <n v="98.343000000000004"/>
    <m/>
    <m/>
    <m/>
    <s v="Schrankia"/>
    <x v="333"/>
    <x v="0"/>
  </r>
  <r>
    <s v="Zotu310"/>
    <n v="310"/>
    <n v="100"/>
    <n v="100"/>
    <m/>
    <m/>
    <m/>
    <s v="Schrankia"/>
    <x v="333"/>
    <x v="0"/>
  </r>
  <r>
    <s v="Zotu334"/>
    <n v="334"/>
    <n v="98.894999999999996"/>
    <n v="98.894999999999996"/>
    <m/>
    <m/>
    <m/>
    <s v="Schrankia"/>
    <x v="333"/>
    <x v="0"/>
  </r>
  <r>
    <s v="Zotu1339"/>
    <n v="1339"/>
    <n v="92.778000000000006"/>
    <n v="0.16400000000000101"/>
    <s v="Nan"/>
    <s v="yes"/>
    <s v="Diptera sp. hongheHap_150"/>
    <s v="Sciaridae"/>
    <x v="334"/>
    <x v="0"/>
  </r>
  <r>
    <s v="Zotu1344"/>
    <n v="1344"/>
    <n v="100"/>
    <n v="100"/>
    <m/>
    <m/>
    <m/>
    <s v="Sciaridae"/>
    <x v="334"/>
    <x v="0"/>
  </r>
  <r>
    <s v="Zotu2169"/>
    <n v="2169"/>
    <n v="97.238"/>
    <n v="1.105"/>
    <s v="yes"/>
    <s v="Leptosciarella"/>
    <s v="Leptosciarella sp. BOLD-2016"/>
    <s v="Sciaridae"/>
    <x v="335"/>
    <x v="0"/>
  </r>
  <r>
    <s v="Zotu629"/>
    <n v="629"/>
    <n v="99.447999999999993"/>
    <n v="0.123999999999995"/>
    <s v="yes"/>
    <s v="yes"/>
    <s v="Sciaridae sp. sc_09206"/>
    <s v="Sciaridae"/>
    <x v="336"/>
    <x v="0"/>
  </r>
  <r>
    <s v="Zotu1263"/>
    <n v="1263"/>
    <n v="96.685000000000002"/>
    <n v="0.55200000000000704"/>
    <s v="yes"/>
    <s v="Arugisa"/>
    <s v="Arugisa latiorella"/>
    <s v="Scolecocampa"/>
    <x v="337"/>
    <x v="0"/>
  </r>
  <r>
    <s v="Zotu945"/>
    <n v="945"/>
    <n v="91.070999999999998"/>
    <n v="91.070999999999998"/>
    <m/>
    <m/>
    <m/>
    <s v="Scolopendra"/>
    <x v="338"/>
    <x v="0"/>
  </r>
  <r>
    <s v="Zotu1147"/>
    <n v="1147"/>
    <n v="100"/>
    <n v="1.3069999999999999"/>
    <s v="yes"/>
    <s v="yes"/>
    <s v="yes"/>
    <s v="Scolopendra"/>
    <x v="339"/>
    <x v="0"/>
  </r>
  <r>
    <s v="Zotu1606"/>
    <n v="1606"/>
    <n v="95.58"/>
    <n v="0.55199999999999205"/>
    <s v="yes"/>
    <s v="yes"/>
    <s v="yes"/>
    <s v="Scoparia"/>
    <x v="340"/>
    <x v="0"/>
  </r>
  <r>
    <s v="Zotu1322"/>
    <n v="1322"/>
    <n v="91.667000000000002"/>
    <n v="0.45799999999999802"/>
    <s v="Saprolegniaceae"/>
    <s v="Saprolegnia"/>
    <s v="Saprolegnia sp. 14"/>
    <s v="Sinocalanus"/>
    <x v="341"/>
    <x v="0"/>
  </r>
  <r>
    <s v="Zotu1974"/>
    <n v="1974"/>
    <n v="97.238"/>
    <n v="1.6000000000005302E-2"/>
    <s v="yes"/>
    <s v="yes"/>
    <s v="yes"/>
    <s v="Siphanta"/>
    <x v="342"/>
    <x v="0"/>
  </r>
  <r>
    <s v="Zotu2315"/>
    <n v="2315"/>
    <n v="100"/>
    <n v="0"/>
    <s v="yes"/>
    <m/>
    <m/>
    <s v="Smittia"/>
    <x v="307"/>
    <x v="0"/>
  </r>
  <r>
    <s v="Zotu1288"/>
    <n v="1288"/>
    <n v="91.667000000000002"/>
    <n v="91.667000000000002"/>
    <m/>
    <m/>
    <m/>
    <s v="Spermatodes"/>
    <x v="343"/>
    <x v="0"/>
  </r>
  <r>
    <s v="Zotu2054"/>
    <n v="2054"/>
    <n v="96.132999999999996"/>
    <n v="0"/>
    <s v="yes"/>
    <s v="yes"/>
    <s v="Spilogona novemmaculata"/>
    <s v="Spilogona"/>
    <x v="344"/>
    <x v="0"/>
  </r>
  <r>
    <s v="Zotu2073"/>
    <n v="2073"/>
    <n v="93.923000000000002"/>
    <n v="0"/>
    <s v="yes"/>
    <s v="yes"/>
    <s v="Spilogona novemmaculata"/>
    <s v="Spilogona"/>
    <x v="344"/>
    <x v="0"/>
  </r>
  <r>
    <s v="Zotu840"/>
    <n v="840"/>
    <n v="92.221999999999994"/>
    <n v="0"/>
    <s v="Psechridae"/>
    <s v="Psechrus"/>
    <s v="Psechrus clavis"/>
    <s v="Spintharus"/>
    <x v="345"/>
    <x v="0"/>
  </r>
  <r>
    <s v="Zotu1069"/>
    <n v="1069"/>
    <n v="93.75"/>
    <n v="2.2009999999999899"/>
    <s v="Cyclophoridae"/>
    <s v="Rhiostoma"/>
    <s v="Rhiostoma sp. R2-4"/>
    <s v="Staphylinidae"/>
    <x v="346"/>
    <x v="0"/>
  </r>
  <r>
    <s v="Zotu150"/>
    <n v="150"/>
    <n v="98.888999999999996"/>
    <n v="7.2689999999999904"/>
    <s v="Melyridae"/>
    <s v="yes"/>
    <s v="Melyridae sp. BOLD:AAN6003"/>
    <s v="Staphylinidae"/>
    <x v="347"/>
    <x v="0"/>
  </r>
  <r>
    <s v="Zotu1557"/>
    <n v="1557"/>
    <n v="97.778000000000006"/>
    <n v="2.04600000000001"/>
    <s v="yes"/>
    <s v="yes"/>
    <s v="yes"/>
    <s v="Steatoda"/>
    <x v="348"/>
    <x v="0"/>
  </r>
  <r>
    <s v="Zotu1400"/>
    <n v="1400"/>
    <n v="100"/>
    <n v="0.55599999999999705"/>
    <s v="yes"/>
    <s v="yes"/>
    <s v="yes"/>
    <s v="Stelidota"/>
    <x v="349"/>
    <x v="0"/>
  </r>
  <r>
    <s v="Zotu1587"/>
    <n v="1587"/>
    <n v="99.444000000000003"/>
    <n v="0.55500000000000704"/>
    <s v="yes"/>
    <s v="yes"/>
    <s v="yes"/>
    <s v="Stelidota"/>
    <x v="349"/>
    <x v="0"/>
  </r>
  <r>
    <s v="Zotu815"/>
    <n v="815"/>
    <n v="91.525000000000006"/>
    <n v="91.525000000000006"/>
    <m/>
    <m/>
    <m/>
    <s v="Stenomorpha"/>
    <x v="350"/>
    <x v="0"/>
  </r>
  <r>
    <s v="Zotu630"/>
    <n v="630"/>
    <n v="91.176000000000002"/>
    <n v="91.176000000000002"/>
    <m/>
    <m/>
    <m/>
    <s v="Stenoonops"/>
    <x v="351"/>
    <x v="0"/>
  </r>
  <r>
    <s v="Zotu1616"/>
    <n v="1616"/>
    <n v="97.058999999999997"/>
    <n v="97.058999999999997"/>
    <m/>
    <m/>
    <m/>
    <s v="Stenopsyche"/>
    <x v="352"/>
    <x v="0"/>
  </r>
  <r>
    <s v="Zotu659"/>
    <n v="659"/>
    <n v="97.058999999999997"/>
    <n v="97.058999999999997"/>
    <m/>
    <m/>
    <m/>
    <s v="Stenopsyche"/>
    <x v="352"/>
    <x v="0"/>
  </r>
  <r>
    <s v="Zotu1222"/>
    <n v="1222"/>
    <n v="100"/>
    <n v="7.0179999999999998"/>
    <s v="Pocilloporidae"/>
    <s v="Pocillopora"/>
    <s v="Pocillopora sp. 27-LDS3-4"/>
    <s v="Stenus"/>
    <x v="353"/>
    <x v="0"/>
  </r>
  <r>
    <s v="Zotu7"/>
    <n v="7"/>
    <n v="91.16"/>
    <n v="91.16"/>
    <m/>
    <m/>
    <m/>
    <s v="Stigmaeidae"/>
    <x v="354"/>
    <x v="0"/>
  </r>
  <r>
    <s v="Zotu941"/>
    <n v="941"/>
    <n v="91.667000000000002"/>
    <n v="91.667000000000002"/>
    <m/>
    <m/>
    <m/>
    <s v="Stigmaeidae"/>
    <x v="354"/>
    <x v="0"/>
  </r>
  <r>
    <s v="Zotu129"/>
    <n v="129"/>
    <n v="92.265000000000001"/>
    <n v="92.265000000000001"/>
    <m/>
    <m/>
    <m/>
    <s v="Stigmaeidae"/>
    <x v="355"/>
    <x v="1"/>
  </r>
  <r>
    <s v="Zotu547"/>
    <n v="547"/>
    <n v="92.817999999999998"/>
    <n v="1.0049999999999999"/>
    <s v="Triophtydeidae"/>
    <s v="Triophtydeus"/>
    <s v="Triophtydeus sp. BIOUG28475-D09"/>
    <s v="Stigmaeidae"/>
    <x v="355"/>
    <x v="1"/>
  </r>
  <r>
    <s v="Zotu564"/>
    <n v="564"/>
    <n v="92.265000000000001"/>
    <n v="1.0370000000000099"/>
    <s v="Triophtydeidae"/>
    <s v="Triophtydeus"/>
    <s v="Triophtydeus sp. BIOUG28475-D09"/>
    <s v="Stigmaeidae"/>
    <x v="355"/>
    <x v="1"/>
  </r>
  <r>
    <s v="Zotu1643"/>
    <n v="1643"/>
    <n v="100"/>
    <n v="6.077"/>
    <s v="Apatelodidae"/>
    <s v="Olceclostera"/>
    <s v="Olceclostera sp. 1 EO-2023a"/>
    <s v="Stoeberhinus"/>
    <x v="356"/>
    <x v="0"/>
  </r>
  <r>
    <s v="Zotu169"/>
    <n v="169"/>
    <n v="96.685000000000002"/>
    <n v="4.5060000000000002"/>
    <s v="Geometridae"/>
    <s v="Earophila"/>
    <s v="Earophila badiata"/>
    <s v="Stoeberhinus"/>
    <x v="356"/>
    <x v="0"/>
  </r>
  <r>
    <s v="Zotu928"/>
    <n v="928"/>
    <n v="99.444000000000003"/>
    <n v="4.9690000000000101"/>
    <s v="Noctuidae"/>
    <s v="Nan"/>
    <s v="Noctuidae sp. BOLD:AAM8800"/>
    <s v="Stoeberhinus"/>
    <x v="356"/>
    <x v="0"/>
  </r>
  <r>
    <s v="Zotu1281"/>
    <n v="1281"/>
    <n v="97.79"/>
    <n v="6.0770000000000097"/>
    <s v="Apatelodidae"/>
    <s v="Olceclostera"/>
    <s v="Olceclostera sp. 1 EO-2023a"/>
    <s v="Stoeberhinus"/>
    <x v="356"/>
    <x v="0"/>
  </r>
  <r>
    <s v="Zotu2114"/>
    <n v="2114"/>
    <n v="94.03"/>
    <n v="1.72199999999999"/>
    <s v="Hypopomidae"/>
    <s v="Microsternarchus"/>
    <s v="Microsternarchus sp. j CE-2024"/>
    <s v="Strophopteryx"/>
    <x v="357"/>
    <x v="0"/>
  </r>
  <r>
    <s v="Zotu1074"/>
    <n v="1074"/>
    <n v="100"/>
    <n v="100"/>
    <m/>
    <m/>
    <m/>
    <s v="Strumigenys"/>
    <x v="358"/>
    <x v="0"/>
  </r>
  <r>
    <s v="Zotu1463"/>
    <n v="1463"/>
    <n v="98.894999999999996"/>
    <n v="6.00000000000023E-3"/>
    <s v="yes"/>
    <s v="yes"/>
    <s v="yes"/>
    <s v="Strumigenys"/>
    <x v="358"/>
    <x v="0"/>
  </r>
  <r>
    <s v="Zotu1907"/>
    <n v="1907"/>
    <n v="98.343000000000004"/>
    <n v="1.00000000000051E-2"/>
    <s v="yes"/>
    <s v="yes"/>
    <s v="yes"/>
    <s v="Strumigenys"/>
    <x v="358"/>
    <x v="0"/>
  </r>
  <r>
    <s v="Zotu203"/>
    <n v="203"/>
    <n v="100"/>
    <n v="0.55200000000000704"/>
    <s v="yes"/>
    <s v="yes"/>
    <s v="yes"/>
    <s v="Strumigenys"/>
    <x v="358"/>
    <x v="0"/>
  </r>
  <r>
    <s v="Zotu765"/>
    <n v="765"/>
    <n v="98.894999999999996"/>
    <n v="6.00000000000023E-3"/>
    <s v="yes"/>
    <s v="yes"/>
    <s v="yes"/>
    <s v="Strumigenys"/>
    <x v="358"/>
    <x v="0"/>
  </r>
  <r>
    <s v="Zotu858"/>
    <n v="858"/>
    <n v="98.894999999999996"/>
    <n v="6.00000000000023E-3"/>
    <s v="yes"/>
    <s v="yes"/>
    <s v="yes"/>
    <s v="Strumigenys"/>
    <x v="358"/>
    <x v="0"/>
  </r>
  <r>
    <s v="Zotu922"/>
    <n v="922"/>
    <n v="97.802000000000007"/>
    <n v="1.20000000000005E-2"/>
    <s v="yes"/>
    <s v="yes"/>
    <s v="yes"/>
    <s v="Strumigenys"/>
    <x v="358"/>
    <x v="0"/>
  </r>
  <r>
    <s v="Zotu1113"/>
    <n v="1113"/>
    <n v="99.447999999999993"/>
    <n v="0.55299999999999705"/>
    <s v="yes"/>
    <s v="yes"/>
    <s v="yes"/>
    <s v="Styposis"/>
    <x v="359"/>
    <x v="0"/>
  </r>
  <r>
    <s v="Zotu1282"/>
    <n v="1282"/>
    <n v="99.447999999999993"/>
    <n v="2.2099999999999902"/>
    <s v="yes"/>
    <s v="yes"/>
    <s v="yes"/>
    <s v="Styposis"/>
    <x v="359"/>
    <x v="0"/>
  </r>
  <r>
    <s v="Zotu1979"/>
    <n v="1979"/>
    <n v="98.894999999999996"/>
    <n v="0.55199999999999205"/>
    <s v="yes"/>
    <s v="yes"/>
    <s v="yes"/>
    <s v="Styposis"/>
    <x v="359"/>
    <x v="0"/>
  </r>
  <r>
    <s v="Zotu2192"/>
    <n v="2192"/>
    <n v="98.343000000000004"/>
    <n v="0.55299999999999705"/>
    <s v="yes"/>
    <s v="yes"/>
    <s v="yes"/>
    <s v="Styposis"/>
    <x v="359"/>
    <x v="0"/>
  </r>
  <r>
    <s v="Zotu305"/>
    <n v="305"/>
    <n v="100"/>
    <n v="2.2099999999999902"/>
    <s v="yes"/>
    <s v="yes"/>
    <s v="yes"/>
    <s v="Styposis"/>
    <x v="359"/>
    <x v="0"/>
  </r>
  <r>
    <s v="Zotu707"/>
    <n v="707"/>
    <n v="100"/>
    <n v="0.55200000000000704"/>
    <s v="yes"/>
    <s v="yes"/>
    <s v="yes"/>
    <s v="Styposis"/>
    <x v="359"/>
    <x v="0"/>
  </r>
  <r>
    <s v="Zotu724"/>
    <n v="724"/>
    <n v="99.447999999999993"/>
    <n v="2.2099999999999902"/>
    <s v="yes"/>
    <s v="yes"/>
    <s v="yes"/>
    <s v="Styposis"/>
    <x v="359"/>
    <x v="0"/>
  </r>
  <r>
    <s v="Zotu432"/>
    <n v="432"/>
    <n v="91.667000000000002"/>
    <n v="0.55599999999999705"/>
    <s v="yes"/>
    <s v="yes"/>
    <s v="yes"/>
    <s v="Svistella"/>
    <x v="360"/>
    <x v="0"/>
  </r>
  <r>
    <s v="Zotu1564"/>
    <n v="1564"/>
    <n v="100"/>
    <n v="100"/>
    <m/>
    <m/>
    <m/>
    <s v="Symphypleona"/>
    <x v="361"/>
    <x v="0"/>
  </r>
  <r>
    <s v="Zotu1828"/>
    <n v="1828"/>
    <n v="95.555999999999997"/>
    <n v="0.52799999999999203"/>
    <s v="Drosophilidae"/>
    <s v="Drosophila"/>
    <s v="Drosophila mettleri"/>
    <s v="Tachininae"/>
    <x v="362"/>
    <x v="0"/>
  </r>
  <r>
    <s v="Zotu760"/>
    <n v="760"/>
    <n v="93.826999999999998"/>
    <n v="0"/>
    <s v="yes"/>
    <s v="yes"/>
    <s v="Tachysphex pompiliformis"/>
    <s v="Tachysphex"/>
    <x v="363"/>
    <x v="0"/>
  </r>
  <r>
    <s v="Zotu2164"/>
    <n v="2164"/>
    <n v="94.594999999999999"/>
    <n v="2.0950000000000002"/>
    <s v="Braconidae"/>
    <s v="Zombrus"/>
    <s v="Zombrus bicolor"/>
    <s v="Tachysphex"/>
    <x v="364"/>
    <x v="0"/>
  </r>
  <r>
    <s v="Zotu2238"/>
    <n v="2238"/>
    <n v="93.242999999999995"/>
    <n v="1.9930000000000001"/>
    <s v="Braconidae"/>
    <s v="Zombrus"/>
    <s v="Zombrus bicolor"/>
    <s v="Tachysphex"/>
    <x v="364"/>
    <x v="0"/>
  </r>
  <r>
    <s v="Zotu2108"/>
    <n v="2108"/>
    <n v="94.34"/>
    <n v="94.34"/>
    <m/>
    <m/>
    <m/>
    <s v="Taeniapterinae"/>
    <x v="365"/>
    <x v="0"/>
  </r>
  <r>
    <s v="Zotu1755"/>
    <n v="1755"/>
    <n v="97.221999999999994"/>
    <n v="1.11099999999999"/>
    <s v="yes"/>
    <s v="yes"/>
    <s v="yes"/>
    <s v="Tapinoma"/>
    <x v="366"/>
    <x v="0"/>
  </r>
  <r>
    <s v="Zotu1780"/>
    <n v="1780"/>
    <n v="98.332999999999998"/>
    <n v="2.2219999999999902"/>
    <s v="yes"/>
    <s v="yes"/>
    <s v="yes"/>
    <s v="Tapinoma"/>
    <x v="366"/>
    <x v="0"/>
  </r>
  <r>
    <s v="Zotu1817"/>
    <n v="1817"/>
    <n v="94.885999999999996"/>
    <n v="0.56799999999999795"/>
    <s v="yes"/>
    <s v="yes"/>
    <s v="yes"/>
    <s v="Tapinoma"/>
    <x v="366"/>
    <x v="0"/>
  </r>
  <r>
    <s v="Zotu244"/>
    <n v="244"/>
    <n v="98.332999999999998"/>
    <n v="1.111"/>
    <s v="yes"/>
    <s v="yes"/>
    <s v="yes"/>
    <s v="Tapinoma"/>
    <x v="366"/>
    <x v="0"/>
  </r>
  <r>
    <s v="Zotu30"/>
    <n v="30"/>
    <n v="93.37"/>
    <n v="93.37"/>
    <m/>
    <m/>
    <m/>
    <s v="Tarsonemidae"/>
    <x v="367"/>
    <x v="0"/>
  </r>
  <r>
    <s v="Zotu1036"/>
    <n v="1036"/>
    <n v="97.238"/>
    <n v="0.55299999999999705"/>
    <s v="yes"/>
    <s v="yes"/>
    <s v="yes"/>
    <s v="Tauroscopa"/>
    <x v="368"/>
    <x v="0"/>
  </r>
  <r>
    <s v="Zotu17"/>
    <n v="17"/>
    <n v="97.238"/>
    <n v="0.55299999999999705"/>
    <s v="Erebidae"/>
    <s v="Sympis"/>
    <s v="Sympis rufibasis"/>
    <s v="Tauroscopa"/>
    <x v="368"/>
    <x v="0"/>
  </r>
  <r>
    <s v="Zotu1877"/>
    <n v="1877"/>
    <n v="96.132999999999996"/>
    <n v="2.1999999999991401E-2"/>
    <s v="Euteliidae"/>
    <s v="Lophoptera"/>
    <s v="Lophoptera sp."/>
    <s v="Tauroscopa"/>
    <x v="368"/>
    <x v="0"/>
  </r>
  <r>
    <s v="Zotu1893"/>
    <n v="1893"/>
    <n v="96.132999999999996"/>
    <n v="2.1999999999991401E-2"/>
    <s v="Nan"/>
    <s v="Nan"/>
    <s v="Lepidoptera sp. BOLD:AAA0072"/>
    <s v="Tauroscopa"/>
    <x v="368"/>
    <x v="0"/>
  </r>
  <r>
    <s v="Zotu2472"/>
    <n v="2472"/>
    <n v="97.159000000000006"/>
    <n v="0.56800000000001205"/>
    <s v="Erebidae"/>
    <s v="Arugisa"/>
    <s v="Arugisa latiorella"/>
    <s v="Tauroscopa"/>
    <x v="368"/>
    <x v="0"/>
  </r>
  <r>
    <s v="Zotu413"/>
    <n v="413"/>
    <n v="96.685000000000002"/>
    <n v="0.55200000000000704"/>
    <s v="yes"/>
    <s v="yes"/>
    <s v="yes"/>
    <s v="Tauroscopa"/>
    <x v="368"/>
    <x v="0"/>
  </r>
  <r>
    <s v="Zotu482"/>
    <n v="482"/>
    <n v="97.238"/>
    <n v="1.6000000000005302E-2"/>
    <s v="Nan"/>
    <s v="Nan"/>
    <s v="Lepidoptera sp. BOLD:AAA2906"/>
    <s v="Tauroscopa"/>
    <x v="368"/>
    <x v="0"/>
  </r>
  <r>
    <s v="Zotu744"/>
    <n v="744"/>
    <n v="96.685000000000002"/>
    <n v="0.55200000000000704"/>
    <s v="yes"/>
    <s v="yes"/>
    <s v="yes"/>
    <s v="Tauroscopa"/>
    <x v="368"/>
    <x v="0"/>
  </r>
  <r>
    <s v="Zotu770"/>
    <n v="770"/>
    <n v="96.685000000000002"/>
    <n v="0.55200000000000704"/>
    <s v="yes"/>
    <s v="Patania"/>
    <s v="Patania nr. sabinusalis BOLD:AAD8194"/>
    <s v="Tauroscopa"/>
    <x v="368"/>
    <x v="0"/>
  </r>
  <r>
    <s v="Zotu1310"/>
    <n v="1310"/>
    <n v="96.61"/>
    <n v="1.03"/>
    <s v="yes"/>
    <s v="Patania"/>
    <s v="Patania sp. Solis03"/>
    <s v="Tauroscopa"/>
    <x v="368"/>
    <x v="0"/>
  </r>
  <r>
    <s v="Zotu1031"/>
    <n v="1031"/>
    <n v="100"/>
    <n v="5.0849999999999902"/>
    <s v="yes"/>
    <s v="yes"/>
    <s v="yes"/>
    <s v="Technomyrmex"/>
    <x v="369"/>
    <x v="0"/>
  </r>
  <r>
    <s v="Zotu1233"/>
    <n v="1233"/>
    <n v="97.238"/>
    <n v="0"/>
    <s v="yes"/>
    <s v="yes"/>
    <s v="Technomyrmex sp. AAF8680"/>
    <s v="Technomyrmex"/>
    <x v="369"/>
    <x v="0"/>
  </r>
  <r>
    <s v="Zotu1560"/>
    <n v="1560"/>
    <n v="97.238"/>
    <n v="0"/>
    <s v="yes"/>
    <s v="yes"/>
    <s v="Technomyrmex sp. AAF8680"/>
    <s v="Technomyrmex"/>
    <x v="369"/>
    <x v="0"/>
  </r>
  <r>
    <s v="Zotu253"/>
    <n v="253"/>
    <n v="98.343000000000004"/>
    <n v="0"/>
    <s v="yes"/>
    <s v="yes"/>
    <s v="Technomyrmex sp. AAF8680"/>
    <s v="Technomyrmex"/>
    <x v="369"/>
    <x v="0"/>
  </r>
  <r>
    <s v="Zotu2558"/>
    <n v="2558"/>
    <n v="95.48"/>
    <n v="0"/>
    <s v="yes"/>
    <s v="yes"/>
    <s v="Technomyrmex sp. AAF8680"/>
    <s v="Technomyrmex"/>
    <x v="369"/>
    <x v="0"/>
  </r>
  <r>
    <s v="Zotu485"/>
    <n v="485"/>
    <n v="98.343000000000004"/>
    <n v="0"/>
    <s v="yes"/>
    <s v="yes"/>
    <s v="Technomyrmex sp. AAF8680"/>
    <s v="Technomyrmex"/>
    <x v="369"/>
    <x v="0"/>
  </r>
  <r>
    <s v="Zotu761"/>
    <n v="761"/>
    <n v="97.238"/>
    <n v="0"/>
    <s v="yes"/>
    <s v="yes"/>
    <s v="Technomyrmex sp. AAF8680"/>
    <s v="Technomyrmex"/>
    <x v="369"/>
    <x v="0"/>
  </r>
  <r>
    <s v="Zotu80"/>
    <n v="80"/>
    <n v="98.894999999999996"/>
    <n v="0"/>
    <s v="yes"/>
    <s v="yes"/>
    <s v="Technomyrmex sp. AAF8680"/>
    <s v="Technomyrmex"/>
    <x v="369"/>
    <x v="0"/>
  </r>
  <r>
    <s v="Zotu124"/>
    <n v="124"/>
    <n v="100"/>
    <n v="8.3800000000000008"/>
    <s v="yes"/>
    <s v="yes"/>
    <s v="Technomyrmex fisheri"/>
    <s v="Technomyrmex"/>
    <x v="370"/>
    <x v="0"/>
  </r>
  <r>
    <s v="Zotu1669"/>
    <n v="1669"/>
    <n v="98.837000000000003"/>
    <n v="9.4999999999998905E-2"/>
    <s v="yes"/>
    <s v="yes"/>
    <s v="yes"/>
    <s v="Technomyrmex"/>
    <x v="370"/>
    <x v="0"/>
  </r>
  <r>
    <s v="Zotu957"/>
    <n v="957"/>
    <n v="98.245999999999995"/>
    <n v="0.14499999999999599"/>
    <s v="yes"/>
    <s v="yes"/>
    <s v="yes"/>
    <s v="Technomyrmex"/>
    <x v="370"/>
    <x v="0"/>
  </r>
  <r>
    <s v="Zotu1492"/>
    <n v="1492"/>
    <n v="94.412999999999997"/>
    <n v="1.0429999999999899"/>
    <s v="yes"/>
    <s v="yes"/>
    <s v="Technomyrmex innocens"/>
    <s v="Technomyrmex"/>
    <x v="371"/>
    <x v="0"/>
  </r>
  <r>
    <s v="Zotu711"/>
    <n v="711"/>
    <n v="94.971999999999994"/>
    <n v="1.0489999999999899"/>
    <s v="yes"/>
    <s v="yes"/>
    <s v="Technomyrmex innocens"/>
    <s v="Technomyrmex"/>
    <x v="371"/>
    <x v="0"/>
  </r>
  <r>
    <s v="Zotu365"/>
    <n v="365"/>
    <n v="97.238"/>
    <n v="0"/>
    <s v="Geometridae"/>
    <s v="Scotocyma"/>
    <s v="Scotocyma sp. INDOBIOSYS-CCDB30352-E01"/>
    <s v="Telphusa"/>
    <x v="372"/>
    <x v="0"/>
  </r>
  <r>
    <s v="Zotu2305"/>
    <n v="2305"/>
    <n v="95.906000000000006"/>
    <n v="0.53000000000000103"/>
    <s v="yes"/>
    <s v="yes"/>
    <s v="Tetragnatha anuenue"/>
    <s v="Tetragnatha"/>
    <x v="373"/>
    <x v="0"/>
  </r>
  <r>
    <s v="Zotu2378"/>
    <n v="2378"/>
    <n v="97.778000000000006"/>
    <n v="0.54000000000000603"/>
    <s v="yes"/>
    <s v="yes"/>
    <s v="yes"/>
    <s v="Tetragnatha"/>
    <x v="374"/>
    <x v="0"/>
  </r>
  <r>
    <s v="Zotu458"/>
    <n v="458"/>
    <n v="91.061000000000007"/>
    <n v="91.061000000000007"/>
    <m/>
    <m/>
    <m/>
    <s v="Tetragnatha"/>
    <x v="375"/>
    <x v="0"/>
  </r>
  <r>
    <s v="Zotu2071"/>
    <n v="2071"/>
    <n v="100"/>
    <n v="0"/>
    <s v="Nymphalidae"/>
    <s v="Nymphalis"/>
    <s v="Nymphalis polychloros"/>
    <s v="Tetramorium"/>
    <x v="376"/>
    <x v="0"/>
  </r>
  <r>
    <s v="Zotu2424"/>
    <n v="2424"/>
    <n v="100"/>
    <n v="0"/>
    <s v="Nymphalidae"/>
    <s v="Nymphalis"/>
    <s v="Nymphalis polychloros"/>
    <s v="Tetramorium"/>
    <x v="376"/>
    <x v="0"/>
  </r>
  <r>
    <s v="Zotu696"/>
    <n v="696"/>
    <n v="94.536000000000001"/>
    <n v="9.1999999999998694E-2"/>
    <s v="yes"/>
    <s v="yes"/>
    <s v="Tetranychidae sp. BIOUG21075-G08"/>
    <s v="Tetranychidae"/>
    <x v="377"/>
    <x v="0"/>
  </r>
  <r>
    <s v="Zotu537"/>
    <n v="537"/>
    <n v="94.474999999999994"/>
    <n v="1.1419999999999999"/>
    <s v="yes"/>
    <s v="yes"/>
    <s v="Tetranychus sp. BIOUG01946-E05"/>
    <s v="Tetranychus"/>
    <x v="378"/>
    <x v="0"/>
  </r>
  <r>
    <s v="Zotu332"/>
    <n v="332"/>
    <n v="99.447999999999993"/>
    <n v="6.4999999999997699E-2"/>
    <s v="yes"/>
    <s v="yes"/>
    <s v="Tettigoniidae sp. sc_09070"/>
    <s v="Tettigoniidae"/>
    <x v="379"/>
    <x v="0"/>
  </r>
  <r>
    <s v="Zotu949"/>
    <n v="949"/>
    <n v="100"/>
    <n v="0"/>
    <s v="yes"/>
    <s v="yes"/>
    <s v="Tettigoniidae sp. sc_09070"/>
    <s v="Tettigoniidae"/>
    <x v="379"/>
    <x v="0"/>
  </r>
  <r>
    <s v="Zotu262"/>
    <n v="262"/>
    <n v="99.382999999999996"/>
    <n v="0.48799999999999999"/>
    <s v="yes"/>
    <s v="yes"/>
    <s v="Tettigoniidae sp. sc_05052"/>
    <s v="Tettigoniidae"/>
    <x v="380"/>
    <x v="0"/>
  </r>
  <r>
    <s v="Zotu882"/>
    <n v="882"/>
    <n v="97.531000000000006"/>
    <n v="0.84600000000000397"/>
    <s v="yes"/>
    <s v="yes"/>
    <s v="Tettigoniidae sp. sc_05052"/>
    <s v="Tettigoniidae"/>
    <x v="380"/>
    <x v="0"/>
  </r>
  <r>
    <s v="Zotu1678"/>
    <n v="1678"/>
    <n v="94.444000000000003"/>
    <n v="0.55500000000000704"/>
    <s v="Drosophilidae"/>
    <s v="Scaptodrosophila"/>
    <s v="Scaptodrosophila angustifolia"/>
    <s v="Teuchophorus"/>
    <x v="381"/>
    <x v="0"/>
  </r>
  <r>
    <s v="Zotu2102"/>
    <n v="2102"/>
    <n v="93.406999999999996"/>
    <n v="0.58899999999999897"/>
    <s v="Phoridae"/>
    <s v="Hypocera"/>
    <s v="Hypocera ehrmanni"/>
    <s v="Teuchophorus"/>
    <x v="381"/>
    <x v="0"/>
  </r>
  <r>
    <s v="Zotu568"/>
    <n v="568"/>
    <n v="91.25"/>
    <n v="91.25"/>
    <m/>
    <m/>
    <m/>
    <s v="Thagria"/>
    <x v="382"/>
    <x v="0"/>
  </r>
  <r>
    <s v="Zotu54"/>
    <n v="54"/>
    <n v="91.489000000000004"/>
    <n v="91.489000000000004"/>
    <m/>
    <m/>
    <m/>
    <s v="Thaumetopoea"/>
    <x v="383"/>
    <x v="0"/>
  </r>
  <r>
    <s v="Zotu2233"/>
    <n v="2233"/>
    <n v="91.667000000000002"/>
    <n v="0"/>
    <s v="yes"/>
    <s v="yes"/>
    <s v="Theridiidae sp. WAM T149350"/>
    <s v="Theridiidae"/>
    <x v="384"/>
    <x v="0"/>
  </r>
  <r>
    <s v="Zotu1413"/>
    <n v="1413"/>
    <n v="92.391000000000005"/>
    <n v="0.63300000000001"/>
    <s v="yes"/>
    <s v="yes"/>
    <s v="Thrips hawaiiensis"/>
    <s v="Thrips"/>
    <x v="385"/>
    <x v="0"/>
  </r>
  <r>
    <s v="Zotu12"/>
    <n v="12"/>
    <n v="100"/>
    <n v="0.54600000000000604"/>
    <s v="yes"/>
    <s v="yes"/>
    <s v="yes"/>
    <s v="Thrips"/>
    <x v="386"/>
    <x v="0"/>
  </r>
  <r>
    <s v="Zotu182"/>
    <n v="182"/>
    <n v="91.802999999999997"/>
    <n v="0.79200000000000204"/>
    <s v="yes"/>
    <s v="yes"/>
    <s v="yes"/>
    <s v="Thrips"/>
    <x v="387"/>
    <x v="0"/>
  </r>
  <r>
    <s v="Zotu353"/>
    <n v="353"/>
    <n v="92.35"/>
    <n v="0.77700000000000102"/>
    <s v="yes"/>
    <s v="yes"/>
    <s v="yes"/>
    <s v="Thrips"/>
    <x v="387"/>
    <x v="0"/>
  </r>
  <r>
    <s v="Zotu1"/>
    <n v="1"/>
    <n v="99.447999999999993"/>
    <n v="0.55299999999999705"/>
    <s v="yes"/>
    <s v="yes"/>
    <s v="yes"/>
    <s v="Tomocerus"/>
    <x v="388"/>
    <x v="0"/>
  </r>
  <r>
    <s v="Zotu1017"/>
    <n v="1017"/>
    <n v="98.894999999999996"/>
    <n v="6.00000000000023E-3"/>
    <s v="yes"/>
    <s v="yes"/>
    <s v="yes"/>
    <s v="Tomocerus"/>
    <x v="388"/>
    <x v="0"/>
  </r>
  <r>
    <s v="Zotu1454"/>
    <n v="1454"/>
    <n v="99.447999999999993"/>
    <n v="3.9999999999906803E-3"/>
    <s v="yes"/>
    <s v="yes"/>
    <s v="yes"/>
    <s v="Tomocerus"/>
    <x v="388"/>
    <x v="0"/>
  </r>
  <r>
    <s v="Zotu1778"/>
    <n v="1778"/>
    <n v="98.894999999999996"/>
    <n v="6.00000000000023E-3"/>
    <s v="yes"/>
    <s v="yes"/>
    <s v="yes"/>
    <s v="Tomocerus"/>
    <x v="388"/>
    <x v="0"/>
  </r>
  <r>
    <s v="Zotu1885"/>
    <n v="1885"/>
    <n v="98.894999999999996"/>
    <n v="6.00000000000023E-3"/>
    <s v="yes"/>
    <s v="yes"/>
    <s v="yes"/>
    <s v="Tomocerus"/>
    <x v="388"/>
    <x v="0"/>
  </r>
  <r>
    <s v="Zotu2326"/>
    <n v="2326"/>
    <n v="93.923000000000002"/>
    <n v="3.4000000000005998E-2"/>
    <s v="yes"/>
    <s v="yes"/>
    <s v="Tomocerus sp. BOLD:ACJ1722"/>
    <s v="Tomocerus"/>
    <x v="388"/>
    <x v="0"/>
  </r>
  <r>
    <s v="Zotu438"/>
    <n v="438"/>
    <n v="98.894999999999996"/>
    <n v="6.00000000000023E-3"/>
    <s v="yes"/>
    <s v="yes"/>
    <s v="yes"/>
    <s v="Tomocerus"/>
    <x v="388"/>
    <x v="0"/>
  </r>
  <r>
    <s v="Zotu484"/>
    <n v="484"/>
    <n v="97.238"/>
    <n v="1.6000000000005302E-2"/>
    <s v="yes"/>
    <s v="yes"/>
    <s v="yes"/>
    <s v="Tomocerus"/>
    <x v="388"/>
    <x v="0"/>
  </r>
  <r>
    <s v="Zotu529"/>
    <n v="529"/>
    <n v="99.447999999999993"/>
    <n v="99.447999999999993"/>
    <m/>
    <m/>
    <m/>
    <s v="Tomocerus"/>
    <x v="388"/>
    <x v="0"/>
  </r>
  <r>
    <s v="Zotu797"/>
    <n v="797"/>
    <n v="98.894999999999996"/>
    <n v="6.00000000000023E-3"/>
    <s v="yes"/>
    <s v="yes"/>
    <s v="yes"/>
    <s v="Tomocerus"/>
    <x v="388"/>
    <x v="0"/>
  </r>
  <r>
    <s v="Zotu1052"/>
    <n v="1052"/>
    <n v="97.79"/>
    <n v="1.20000000000005E-2"/>
    <s v="yes"/>
    <s v="yes"/>
    <s v="Tomocerus sp. CNFNT1936-14"/>
    <s v="Tomocerus"/>
    <x v="389"/>
    <x v="0"/>
  </r>
  <r>
    <s v="Zotu1081"/>
    <n v="1081"/>
    <n v="91.667000000000002"/>
    <n v="4.6999999999997003E-2"/>
    <s v="yes"/>
    <s v="yes"/>
    <s v="Tomocerus sp. CNFNT1936-14"/>
    <s v="Tomocerus"/>
    <x v="389"/>
    <x v="0"/>
  </r>
  <r>
    <s v="Zotu2252"/>
    <n v="2252"/>
    <n v="95.028000000000006"/>
    <n v="2.8000000000005801E-2"/>
    <s v="yes"/>
    <s v="yes"/>
    <s v="Tomocerus sp. CNFNT1936-14"/>
    <s v="Tomocerus"/>
    <x v="389"/>
    <x v="0"/>
  </r>
  <r>
    <s v="Zotu9"/>
    <n v="9"/>
    <n v="100"/>
    <n v="0"/>
    <s v="yes"/>
    <s v="yes"/>
    <s v="Tomocerus sp. CNFNT1936-14"/>
    <s v="Tomocerus"/>
    <x v="389"/>
    <x v="0"/>
  </r>
  <r>
    <s v="Zotu1045"/>
    <n v="1045"/>
    <n v="97.238"/>
    <n v="97.238"/>
    <m/>
    <m/>
    <m/>
    <s v="Tomocerus"/>
    <x v="390"/>
    <x v="0"/>
  </r>
  <r>
    <s v="Zotu367"/>
    <n v="367"/>
    <n v="95.454999999999998"/>
    <n v="0.426999999999992"/>
    <s v="Drosophilidae"/>
    <s v="Rhinoleucophenga"/>
    <s v="Rhinoleucophenga obesa"/>
    <s v="Tomosvaryella"/>
    <x v="391"/>
    <x v="0"/>
  </r>
  <r>
    <s v="Zotu1295"/>
    <n v="1295"/>
    <n v="98.064999999999998"/>
    <n v="0.13400000000000001"/>
    <s v="Paradoxosomatidae"/>
    <s v="Oxidus"/>
    <s v="Oxidus gracilis"/>
    <s v="Trichrysis"/>
    <x v="392"/>
    <x v="0"/>
  </r>
  <r>
    <s v="Zotu1857"/>
    <n v="1857"/>
    <n v="99.355000000000004"/>
    <n v="4.5000000000001698E-2"/>
    <s v="Paradoxosomatidae"/>
    <s v="Oxidus"/>
    <s v="Oxidus gracilis"/>
    <s v="Trichrysis"/>
    <x v="392"/>
    <x v="0"/>
  </r>
  <r>
    <s v="Zotu126"/>
    <n v="126"/>
    <n v="92"/>
    <n v="0.93899999999999295"/>
    <s v="Ceratopogonidae"/>
    <s v="Culicoides"/>
    <s v="Culicoides sp. BIOUG21053-C02"/>
    <s v="Trigonidiidae"/>
    <x v="393"/>
    <x v="0"/>
  </r>
  <r>
    <s v="Zotu395"/>
    <n v="395"/>
    <n v="91.429000000000002"/>
    <n v="0.367999999999995"/>
    <s v="yes"/>
    <s v="Anaxipha"/>
    <s v="Anaxipha calusa"/>
    <s v="Trigonidiidae"/>
    <x v="393"/>
    <x v="0"/>
  </r>
  <r>
    <s v="Zotu201"/>
    <n v="201"/>
    <n v="91.16"/>
    <n v="91.16"/>
    <m/>
    <m/>
    <m/>
    <s v="Triophtydeus"/>
    <x v="394"/>
    <x v="0"/>
  </r>
  <r>
    <s v="Zotu450"/>
    <n v="450"/>
    <n v="91.061000000000007"/>
    <n v="91.061000000000007"/>
    <m/>
    <m/>
    <m/>
    <s v="Triophtydeus"/>
    <x v="394"/>
    <x v="0"/>
  </r>
  <r>
    <s v="Zotu71"/>
    <n v="71"/>
    <n v="91.111000000000004"/>
    <n v="91.111000000000004"/>
    <m/>
    <m/>
    <m/>
    <s v="Triophtydeus"/>
    <x v="394"/>
    <x v="0"/>
  </r>
  <r>
    <s v="Zotu1926"/>
    <n v="1926"/>
    <n v="91.061000000000007"/>
    <n v="0"/>
    <s v="yes"/>
    <s v="yes"/>
    <s v="Trioza sp. ABINEP-SK-BA"/>
    <s v="Trioza"/>
    <x v="395"/>
    <x v="0"/>
  </r>
  <r>
    <s v="Zotu884"/>
    <n v="884"/>
    <n v="91.304000000000002"/>
    <n v="91.304000000000002"/>
    <m/>
    <m/>
    <m/>
    <s v="Trombidiformes"/>
    <x v="396"/>
    <x v="0"/>
  </r>
  <r>
    <s v="Zotu1277"/>
    <n v="1277"/>
    <n v="96.685000000000002"/>
    <n v="2.2100000000000102"/>
    <s v="yes"/>
    <s v="yes"/>
    <s v="Tydeidae sp. BOLD:ADE4160"/>
    <s v="Tydeidae"/>
    <x v="397"/>
    <x v="0"/>
  </r>
  <r>
    <s v="Zotu2107"/>
    <n v="2107"/>
    <n v="96.132999999999996"/>
    <n v="3.3549999999999902"/>
    <s v="yes"/>
    <s v="yes"/>
    <s v="Tydeidae sp. BIOUG27286-G03"/>
    <s v="Tydeidae"/>
    <x v="397"/>
    <x v="0"/>
  </r>
  <r>
    <s v="Zotu1964"/>
    <n v="1964"/>
    <n v="97.778000000000006"/>
    <n v="1.30000000000052E-2"/>
    <s v="yes"/>
    <s v="Clerarcha"/>
    <s v="Clerarcha dryinopa"/>
    <s v="Tymbophora"/>
    <x v="398"/>
    <x v="0"/>
  </r>
  <r>
    <s v="Zotu2418"/>
    <n v="2418"/>
    <n v="97.221999999999994"/>
    <n v="1.50000000000006E-2"/>
    <s v="yes"/>
    <s v="Clerarcha"/>
    <s v="Clerarcha dryinopa"/>
    <s v="Tymbophora"/>
    <x v="398"/>
    <x v="0"/>
  </r>
  <r>
    <s v="Zotu417"/>
    <n v="417"/>
    <n v="91.667000000000002"/>
    <n v="0"/>
    <s v="yes"/>
    <s v="yes"/>
    <s v="Vaejovis vorhiesi group sp. RWB-2013"/>
    <s v="Vaejovis"/>
    <x v="399"/>
    <x v="0"/>
  </r>
  <r>
    <s v="Zotu147"/>
    <n v="147"/>
    <n v="92.453000000000003"/>
    <n v="92.453000000000003"/>
    <m/>
    <m/>
    <m/>
    <s v="Vespa"/>
    <x v="400"/>
    <x v="0"/>
  </r>
  <r>
    <s v="Zotu52"/>
    <n v="52"/>
    <n v="92.453000000000003"/>
    <n v="92.453000000000003"/>
    <m/>
    <m/>
    <m/>
    <s v="Vespa"/>
    <x v="400"/>
    <x v="0"/>
  </r>
  <r>
    <s v="Zotu2301"/>
    <n v="2301"/>
    <n v="95.58"/>
    <n v="4.8999999999992397E-2"/>
    <s v="yes"/>
    <s v="yes"/>
    <s v="Xylorycta apheles"/>
    <s v="Xylorycta"/>
    <x v="401"/>
    <x v="0"/>
  </r>
  <r>
    <s v="Zotu144"/>
    <n v="144"/>
    <n v="100"/>
    <n v="1.79600000000001"/>
    <s v="yes"/>
    <s v="yes"/>
    <s v="yes"/>
    <s v="Xylosandrus"/>
    <x v="402"/>
    <x v="0"/>
  </r>
  <r>
    <s v="Zotu580"/>
    <n v="580"/>
    <n v="99.447999999999993"/>
    <n v="1.84299999999999"/>
    <s v="yes"/>
    <s v="yes"/>
    <s v="yes"/>
    <s v="Xylosandrus"/>
    <x v="402"/>
    <x v="0"/>
  </r>
  <r>
    <s v="Zotu655"/>
    <n v="655"/>
    <n v="98.894999999999996"/>
    <n v="0.73499999999999899"/>
    <s v="yes"/>
    <s v="yes"/>
    <s v="yes"/>
    <s v="Xylosandrus"/>
    <x v="402"/>
    <x v="0"/>
  </r>
  <r>
    <s v="Zotu806"/>
    <n v="806"/>
    <n v="91.429000000000002"/>
    <n v="91.429000000000002"/>
    <m/>
    <m/>
    <m/>
    <s v="Xysticus"/>
    <x v="403"/>
    <x v="0"/>
  </r>
  <r>
    <s v="Zotu582"/>
    <n v="582"/>
    <n v="92.179000000000002"/>
    <n v="0.55899999999999705"/>
    <s v="yes"/>
    <s v="yes"/>
    <s v="yes"/>
    <s v="Xysticus"/>
    <x v="404"/>
    <x v="0"/>
  </r>
  <r>
    <s v="Zotu1836"/>
    <n v="1836"/>
    <n v="95.555999999999997"/>
    <n v="95.555999999999997"/>
    <m/>
    <m/>
    <m/>
    <s v="Zaprionus"/>
    <x v="405"/>
    <x v="0"/>
  </r>
  <r>
    <s v="Zotu1975"/>
    <n v="1975"/>
    <n v="98.894999999999996"/>
    <n v="6.00000000000023E-3"/>
    <s v="yes"/>
    <s v="Drosophila"/>
    <s v="Drosophila zottii"/>
    <s v="Zaprionus"/>
    <x v="405"/>
    <x v="0"/>
  </r>
  <r>
    <s v="Zotu384"/>
    <n v="384"/>
    <n v="100"/>
    <n v="100"/>
    <m/>
    <m/>
    <m/>
    <s v="Zaprionus"/>
    <x v="405"/>
    <x v="0"/>
  </r>
  <r>
    <s v="Zotu683"/>
    <n v="683"/>
    <n v="99.447999999999993"/>
    <n v="99.447999999999993"/>
    <m/>
    <m/>
    <m/>
    <s v="Zaprionus"/>
    <x v="405"/>
    <x v="0"/>
  </r>
  <r>
    <s v="Zotu1149"/>
    <n v="1149"/>
    <n v="94.474999999999994"/>
    <n v="1.10499999999999"/>
    <s v="yes"/>
    <s v="Nan"/>
    <s v="Rhyparochromidae sp. CC15C-15"/>
    <s v="Zeridoneus"/>
    <x v="406"/>
    <x v="0"/>
  </r>
  <r>
    <s v="Zotu2426"/>
    <n v="2426"/>
    <n v="92"/>
    <n v="0.108000000000004"/>
    <s v="yes"/>
    <s v="Nan"/>
    <s v="Microgastrinae sp. BOLD:AAM7397"/>
    <s v="Zombrus"/>
    <x v="407"/>
    <x v="0"/>
  </r>
  <r>
    <s v="Zotu1126"/>
    <n v="1126"/>
    <n v="97.79"/>
    <n v="4.9720000000000102"/>
    <s v="Dicyrtomidae"/>
    <s v="yes"/>
    <m/>
    <m/>
    <x v="307"/>
    <x v="0"/>
  </r>
  <r>
    <s v="Zotu1229"/>
    <n v="1229"/>
    <n v="100"/>
    <n v="0.55200000000000704"/>
    <m/>
    <m/>
    <m/>
    <m/>
    <x v="307"/>
    <x v="0"/>
  </r>
  <r>
    <s v="Zotu123"/>
    <n v="123"/>
    <n v="100"/>
    <n v="0.55200000000000704"/>
    <s v="yes"/>
    <s v="Drosophila"/>
    <m/>
    <m/>
    <x v="307"/>
    <x v="0"/>
  </r>
  <r>
    <s v="Zotu1570"/>
    <n v="1570"/>
    <n v="98.894999999999996"/>
    <n v="6.63"/>
    <s v="Dicyrtomidae"/>
    <s v="yes"/>
    <m/>
    <m/>
    <x v="307"/>
    <x v="0"/>
  </r>
  <r>
    <s v="Zotu1582"/>
    <n v="1582"/>
    <n v="91.935000000000002"/>
    <n v="91.935000000000002"/>
    <m/>
    <m/>
    <m/>
    <m/>
    <x v="307"/>
    <x v="0"/>
  </r>
  <r>
    <s v="Zotu1621"/>
    <n v="1621"/>
    <n v="93.650999999999996"/>
    <n v="1.4629999999999901"/>
    <m/>
    <m/>
    <m/>
    <m/>
    <x v="307"/>
    <x v="0"/>
  </r>
  <r>
    <s v="Zotu1677"/>
    <n v="1677"/>
    <n v="99.444000000000003"/>
    <n v="0.55500000000000704"/>
    <s v="yes"/>
    <s v="Drosophila"/>
    <m/>
    <m/>
    <x v="307"/>
    <x v="0"/>
  </r>
  <r>
    <s v="Zotu1813"/>
    <n v="1813"/>
    <n v="97.79"/>
    <n v="4.42"/>
    <s v="Dicyrtomidae"/>
    <s v="yes"/>
    <m/>
    <m/>
    <x v="307"/>
    <x v="0"/>
  </r>
  <r>
    <s v="Zotu190"/>
    <n v="190"/>
    <n v="99.447999999999993"/>
    <n v="99.447999999999993"/>
    <m/>
    <m/>
    <m/>
    <m/>
    <x v="307"/>
    <x v="0"/>
  </r>
  <r>
    <s v="Zotu2323"/>
    <n v="2323"/>
    <n v="98.314999999999998"/>
    <n v="0.52499999999999103"/>
    <s v="yes"/>
    <s v="yes"/>
    <m/>
    <m/>
    <x v="307"/>
    <x v="0"/>
  </r>
  <r>
    <s v="Zotu2390"/>
    <n v="2390"/>
    <n v="92.655000000000001"/>
    <n v="0.56499999999999795"/>
    <s v="yes"/>
    <s v="yes"/>
    <m/>
    <m/>
    <x v="307"/>
    <x v="0"/>
  </r>
  <r>
    <s v="Zotu2490"/>
    <n v="2490"/>
    <n v="95.555999999999997"/>
    <n v="2.4999999999991501E-2"/>
    <m/>
    <m/>
    <m/>
    <m/>
    <x v="307"/>
    <x v="0"/>
  </r>
  <r>
    <s v="Zotu301"/>
    <n v="301"/>
    <n v="96.111000000000004"/>
    <n v="5"/>
    <s v="Dicyrtomidae"/>
    <s v="yes"/>
    <m/>
    <m/>
    <x v="307"/>
    <x v="0"/>
  </r>
  <r>
    <s v="Zotu411"/>
    <n v="411"/>
    <n v="93.888999999999996"/>
    <n v="1.70999999999999"/>
    <s v="Calliphoridae"/>
    <s v="Calliphora"/>
    <m/>
    <m/>
    <x v="307"/>
    <x v="0"/>
  </r>
  <r>
    <s v="Zotu424"/>
    <n v="424"/>
    <n v="99.447999999999993"/>
    <n v="6.63"/>
    <s v="Dicyrtomidae"/>
    <s v="yes"/>
    <m/>
    <m/>
    <x v="307"/>
    <x v="0"/>
  </r>
  <r>
    <s v="Zotu477"/>
    <n v="477"/>
    <n v="99.447999999999993"/>
    <n v="99.447999999999993"/>
    <m/>
    <m/>
    <m/>
    <m/>
    <x v="307"/>
    <x v="0"/>
  </r>
  <r>
    <s v="Zotu480"/>
    <n v="480"/>
    <n v="100"/>
    <n v="100"/>
    <m/>
    <m/>
    <m/>
    <m/>
    <x v="307"/>
    <x v="0"/>
  </r>
  <r>
    <s v="Zotu500"/>
    <n v="500"/>
    <n v="96.111000000000004"/>
    <n v="2.7780000000000098"/>
    <s v="Dicyrtomidae"/>
    <s v="yes"/>
    <m/>
    <m/>
    <x v="307"/>
    <x v="0"/>
  </r>
  <r>
    <s v="Zotu578"/>
    <n v="578"/>
    <n v="98.894999999999996"/>
    <n v="5.5249999999999897"/>
    <s v="Dicyrtomidae"/>
    <s v="yes"/>
    <m/>
    <m/>
    <x v="307"/>
    <x v="0"/>
  </r>
  <r>
    <s v="Zotu60"/>
    <n v="60"/>
    <n v="100"/>
    <n v="100"/>
    <m/>
    <m/>
    <m/>
    <m/>
    <x v="307"/>
    <x v="0"/>
  </r>
  <r>
    <s v="Zotu633"/>
    <n v="633"/>
    <n v="98.343000000000004"/>
    <n v="5.5250000000000101"/>
    <s v="Dicyrtomidae"/>
    <s v="yes"/>
    <m/>
    <m/>
    <x v="307"/>
    <x v="0"/>
  </r>
  <r>
    <s v="Zotu67"/>
    <n v="67"/>
    <n v="100"/>
    <n v="6.63"/>
    <s v="Dicyrtomidae"/>
    <s v="yes"/>
    <m/>
    <m/>
    <x v="307"/>
    <x v="0"/>
  </r>
  <r>
    <s v="Zotu985"/>
    <n v="985"/>
    <n v="100"/>
    <n v="3.3149999999999999"/>
    <s v="Sphaeroceridae"/>
    <s v="Spelobia"/>
    <m/>
    <m/>
    <x v="307"/>
    <x v="0"/>
  </r>
  <r>
    <s v="Zotu998"/>
    <n v="998"/>
    <n v="98.894999999999996"/>
    <n v="6.63"/>
    <s v="Dicyrtomidae"/>
    <s v="yes"/>
    <m/>
    <m/>
    <x v="307"/>
    <x v="0"/>
  </r>
  <r>
    <s v="Zotu490"/>
    <n v="490"/>
    <n v="91.802999999999997"/>
    <n v="91.802999999999997"/>
    <m/>
    <m/>
    <m/>
    <s v="Ablemma"/>
    <x v="408"/>
    <x v="1"/>
  </r>
  <r>
    <s v="Zotu651"/>
    <n v="651"/>
    <n v="91.802999999999997"/>
    <n v="91.802999999999997"/>
    <m/>
    <m/>
    <m/>
    <s v="Ablemma"/>
    <x v="408"/>
    <x v="1"/>
  </r>
  <r>
    <s v="Zotu726"/>
    <n v="726"/>
    <n v="91.802999999999997"/>
    <n v="91.802999999999997"/>
    <m/>
    <m/>
    <m/>
    <s v="Ablemma"/>
    <x v="408"/>
    <x v="1"/>
  </r>
  <r>
    <s v="Zotu1973"/>
    <n v="1973"/>
    <n v="91.712999999999994"/>
    <n v="0.55299999999999705"/>
    <s v="yes"/>
    <s v="yes"/>
    <s v="Agrypon flexorium"/>
    <s v="Agrypon"/>
    <x v="409"/>
    <x v="1"/>
  </r>
  <r>
    <s v="Zotu2303"/>
    <n v="2303"/>
    <n v="91.549000000000007"/>
    <n v="91.549000000000007"/>
    <m/>
    <m/>
    <m/>
    <s v="Amerodectes"/>
    <x v="410"/>
    <x v="1"/>
  </r>
  <r>
    <s v="Zotu275"/>
    <n v="275"/>
    <n v="100"/>
    <n v="0"/>
    <s v="yes"/>
    <s v="yes"/>
    <s v="Brasema sp. G0052"/>
    <s v="Brasema"/>
    <x v="54"/>
    <x v="1"/>
  </r>
  <r>
    <s v="Zotu2090"/>
    <n v="2090"/>
    <n v="97.238"/>
    <n v="1.105"/>
    <s v="yes"/>
    <s v="yes"/>
    <s v="Cephalops brachium"/>
    <s v="Cephalops"/>
    <x v="411"/>
    <x v="1"/>
  </r>
  <r>
    <s v="Zotu294"/>
    <n v="294"/>
    <n v="97.79"/>
    <n v="1.105"/>
    <s v="yes"/>
    <s v="yes"/>
    <s v="Cephalops brachium"/>
    <s v="Cephalops"/>
    <x v="411"/>
    <x v="1"/>
  </r>
  <r>
    <s v="Zotu1001"/>
    <n v="1001"/>
    <n v="97.79"/>
    <n v="0.55200000000000704"/>
    <s v="yes"/>
    <s v="yes"/>
    <m/>
    <s v="Chrysotus"/>
    <x v="307"/>
    <x v="1"/>
  </r>
  <r>
    <s v="Zotu1613"/>
    <n v="1613"/>
    <n v="97.79"/>
    <n v="6.3000000000002401E-2"/>
    <s v="yes"/>
    <s v="yes"/>
    <s v="yes"/>
    <s v="Coleosoma"/>
    <x v="412"/>
    <x v="1"/>
  </r>
  <r>
    <s v="Zotu775"/>
    <n v="775"/>
    <n v="91.837000000000003"/>
    <n v="91.837000000000003"/>
    <m/>
    <m/>
    <m/>
    <s v="Coquillettia"/>
    <x v="413"/>
    <x v="1"/>
  </r>
  <r>
    <s v="Zotu863"/>
    <n v="863"/>
    <n v="91.525000000000006"/>
    <n v="0"/>
    <s v="Tortricidae"/>
    <s v="Cnephasia"/>
    <s v="Cnephasia pasiuana"/>
    <s v="Dichromodes"/>
    <x v="414"/>
    <x v="1"/>
  </r>
  <r>
    <s v="Zotu809"/>
    <n v="809"/>
    <n v="97.778000000000006"/>
    <n v="0"/>
    <s v="yes"/>
    <s v="yes"/>
    <s v="Drosophila kepulauana"/>
    <s v="Drosophila"/>
    <x v="137"/>
    <x v="1"/>
  </r>
  <r>
    <s v="Zotu1670"/>
    <n v="1670"/>
    <n v="97.79"/>
    <n v="0.55200000000000704"/>
    <s v="yes"/>
    <s v="Nan"/>
    <s v="Drosophilidae sp. sc_05673"/>
    <s v="Drosophila"/>
    <x v="137"/>
    <x v="1"/>
  </r>
  <r>
    <s v="Zotu520"/>
    <n v="520"/>
    <n v="99.441000000000003"/>
    <n v="0.55800000000000705"/>
    <s v="yes"/>
    <s v="yes"/>
    <s v="yes"/>
    <s v="Hyposmocoma"/>
    <x v="415"/>
    <x v="1"/>
  </r>
  <r>
    <s v="Zotu161"/>
    <n v="161"/>
    <n v="96.667000000000002"/>
    <n v="0.53400000000000603"/>
    <s v="yes"/>
    <s v="yes"/>
    <s v="yes"/>
    <s v="Hyposmocoma"/>
    <x v="416"/>
    <x v="1"/>
  </r>
  <r>
    <s v="Zotu1911"/>
    <n v="1911"/>
    <n v="99.444000000000003"/>
    <n v="3.0000000000001098E-3"/>
    <s v="yes"/>
    <s v="yes"/>
    <s v="yes"/>
    <s v="Hyposmocoma"/>
    <x v="417"/>
    <x v="1"/>
  </r>
  <r>
    <s v="Zotu1687"/>
    <n v="1687"/>
    <n v="100"/>
    <n v="0"/>
    <s v="yes"/>
    <s v="yes"/>
    <m/>
    <s v="Hyposmocoma"/>
    <x v="418"/>
    <x v="1"/>
  </r>
  <r>
    <s v="Zotu1783"/>
    <n v="1783"/>
    <n v="98.332999999999998"/>
    <n v="9.0000000000003393E-3"/>
    <s v="yes"/>
    <s v="yes"/>
    <s v="Hyposmocoma hooilo"/>
    <s v="Hyposmocoma"/>
    <x v="418"/>
    <x v="1"/>
  </r>
  <r>
    <s v="Zotu1609"/>
    <n v="1609"/>
    <n v="95.555999999999997"/>
    <n v="0.50099999999999101"/>
    <s v="Gelechiidae"/>
    <s v="Ardozyga"/>
    <s v="Ardozyga sp. ANIC28"/>
    <s v="Hyposmocoma"/>
    <x v="419"/>
    <x v="1"/>
  </r>
  <r>
    <s v="Zotu1648"/>
    <n v="1648"/>
    <n v="95"/>
    <n v="0.49500000000000499"/>
    <s v="Gelechiidae"/>
    <s v="Ardozyga"/>
    <s v="Ardozyga sp. ANIC28"/>
    <s v="Hyposmocoma"/>
    <x v="419"/>
    <x v="1"/>
  </r>
  <r>
    <s v="Zotu2012"/>
    <n v="2012"/>
    <n v="96.111000000000004"/>
    <n v="2.2000000000005598E-2"/>
    <s v="yes"/>
    <s v="yes"/>
    <s v="Hyposmocoma sp. 93 WPH-2014"/>
    <s v="Hyposmocoma"/>
    <x v="419"/>
    <x v="1"/>
  </r>
  <r>
    <s v="Zotu948"/>
    <n v="948"/>
    <n v="96.111000000000004"/>
    <n v="0"/>
    <s v="yes"/>
    <s v="yes"/>
    <s v="Hyposmocoma sp. 126 WPH-2017"/>
    <s v="Hyposmocoma"/>
    <x v="420"/>
    <x v="1"/>
  </r>
  <r>
    <s v="Zotu2269"/>
    <n v="2269"/>
    <n v="95"/>
    <n v="0.58700000000000296"/>
    <s v="yes"/>
    <s v="yes"/>
    <s v="Hyposmocoma sp."/>
    <s v="Hyposmocoma"/>
    <x v="421"/>
    <x v="1"/>
  </r>
  <r>
    <s v="Zotu1150"/>
    <n v="1150"/>
    <n v="92.817999999999998"/>
    <n v="92.817999999999998"/>
    <m/>
    <m/>
    <m/>
    <s v="Kilauella"/>
    <x v="422"/>
    <x v="1"/>
  </r>
  <r>
    <s v="Zotu1387"/>
    <n v="1387"/>
    <n v="92.265000000000001"/>
    <n v="92.265000000000001"/>
    <m/>
    <m/>
    <m/>
    <s v="Kilauella"/>
    <x v="422"/>
    <x v="1"/>
  </r>
  <r>
    <s v="Zotu146"/>
    <n v="146"/>
    <n v="93.923000000000002"/>
    <n v="93.923000000000002"/>
    <m/>
    <m/>
    <m/>
    <s v="Kilauella"/>
    <x v="422"/>
    <x v="1"/>
  </r>
  <r>
    <s v="Zotu2214"/>
    <n v="2214"/>
    <n v="91.712999999999994"/>
    <n v="91.712999999999994"/>
    <m/>
    <m/>
    <m/>
    <s v="Kilauella"/>
    <x v="422"/>
    <x v="1"/>
  </r>
  <r>
    <s v="Zotu32"/>
    <n v="32"/>
    <n v="93.37"/>
    <n v="93.37"/>
    <m/>
    <m/>
    <m/>
    <s v="Kilauella"/>
    <x v="422"/>
    <x v="1"/>
  </r>
  <r>
    <s v="Zotu2467"/>
    <n v="2467"/>
    <n v="94.444000000000003"/>
    <n v="3.1000000000005901E-2"/>
    <s v="Noctuidae"/>
    <s v="Feralia"/>
    <s v="Feralia februalis"/>
    <s v="Lichenaula"/>
    <x v="218"/>
    <x v="0"/>
  </r>
  <r>
    <s v="Zotu49"/>
    <n v="49"/>
    <n v="94.444000000000003"/>
    <n v="3.1000000000005901E-2"/>
    <s v="yes"/>
    <s v="yes"/>
    <s v="Myrmarachne cf. melanocephala PUZ IMP 1070"/>
    <s v="Myrmarachne"/>
    <x v="423"/>
    <x v="1"/>
  </r>
  <r>
    <s v="Zotu1214"/>
    <n v="1214"/>
    <n v="91.379000000000005"/>
    <n v="91.379000000000005"/>
    <m/>
    <m/>
    <m/>
    <s v="Nan"/>
    <x v="424"/>
    <x v="1"/>
  </r>
  <r>
    <s v="Zotu2016"/>
    <n v="2016"/>
    <n v="91.379000000000005"/>
    <n v="91.379000000000005"/>
    <m/>
    <m/>
    <m/>
    <s v="Nan"/>
    <x v="120"/>
    <x v="1"/>
  </r>
  <r>
    <s v="Zotu2360"/>
    <n v="2360"/>
    <n v="91.712999999999994"/>
    <n v="4.5999999999992297E-2"/>
    <s v="yes"/>
    <s v="yes"/>
    <m/>
    <s v="Nan"/>
    <x v="145"/>
    <x v="1"/>
  </r>
  <r>
    <s v="Zotu768"/>
    <n v="768"/>
    <n v="91.802999999999997"/>
    <n v="0"/>
    <s v="yes"/>
    <s v="yes"/>
    <s v="Entomobryidae sp. BIOUG19505-C04"/>
    <s v="Nan"/>
    <x v="425"/>
    <x v="1"/>
  </r>
  <r>
    <s v="Zotu1380"/>
    <n v="1380"/>
    <n v="91.62"/>
    <n v="91.62"/>
    <m/>
    <m/>
    <m/>
    <s v="Nan"/>
    <x v="426"/>
    <x v="1"/>
  </r>
  <r>
    <s v="Zotu1291"/>
    <n v="1291"/>
    <n v="91.712999999999994"/>
    <n v="0.60199999999998999"/>
    <s v="Trigonidiidae"/>
    <s v="Anaxipha"/>
    <s v="Anaxipha fultoni"/>
    <s v="Nan"/>
    <x v="179"/>
    <x v="1"/>
  </r>
  <r>
    <s v="Zotu1517"/>
    <n v="1517"/>
    <n v="91.429000000000002"/>
    <n v="91.429000000000002"/>
    <m/>
    <m/>
    <m/>
    <s v="Nan"/>
    <x v="185"/>
    <x v="1"/>
  </r>
  <r>
    <s v="Zotu2194"/>
    <n v="2194"/>
    <n v="91.802999999999997"/>
    <n v="0.13599999999999601"/>
    <s v="Centropagidae"/>
    <s v="Boeckella"/>
    <s v="Boeckella sp."/>
    <s v="Nan"/>
    <x v="427"/>
    <x v="1"/>
  </r>
  <r>
    <s v="Zotu1164"/>
    <n v="1164"/>
    <n v="91.712999999999994"/>
    <n v="0.18799999999998801"/>
    <s v="yes"/>
    <s v="yes"/>
    <s v="Stigmaeidae sp. BOLD:ACL9060"/>
    <s v="Nan"/>
    <x v="428"/>
    <x v="1"/>
  </r>
  <r>
    <s v="Zotu1534"/>
    <n v="1534"/>
    <n v="91.712999999999994"/>
    <n v="91.712999999999994"/>
    <m/>
    <m/>
    <m/>
    <s v="Nan"/>
    <x v="355"/>
    <x v="1"/>
  </r>
  <r>
    <s v="Zotu330"/>
    <n v="330"/>
    <n v="91.62"/>
    <n v="91.62"/>
    <m/>
    <m/>
    <m/>
    <s v="Nan"/>
    <x v="355"/>
    <x v="1"/>
  </r>
  <r>
    <s v="Zotu1089"/>
    <n v="1089"/>
    <n v="92.221999999999994"/>
    <n v="0.55499999999999305"/>
    <s v="yes"/>
    <s v="yes"/>
    <s v="yes"/>
    <s v="Nesosydne"/>
    <x v="429"/>
    <x v="1"/>
  </r>
  <r>
    <s v="Zotu313"/>
    <n v="313"/>
    <n v="92.265000000000001"/>
    <n v="0.55200000000000704"/>
    <s v="yes"/>
    <s v="yes"/>
    <s v="yes"/>
    <s v="Nesosydne"/>
    <x v="429"/>
    <x v="1"/>
  </r>
  <r>
    <s v="Zotu1548"/>
    <n v="1548"/>
    <n v="92.655000000000001"/>
    <n v="0.56499999999999795"/>
    <s v="yes"/>
    <s v="yes"/>
    <s v="yes"/>
    <s v="Nesosydne"/>
    <x v="430"/>
    <x v="1"/>
  </r>
  <r>
    <s v="Zotu1218"/>
    <n v="1218"/>
    <n v="91.712999999999994"/>
    <n v="0.55299999999999705"/>
    <s v="yes"/>
    <s v="yes"/>
    <s v="yes"/>
    <s v="Nesosydne"/>
    <x v="429"/>
    <x v="1"/>
  </r>
  <r>
    <s v="Zotu843"/>
    <n v="843"/>
    <n v="91.712999999999994"/>
    <n v="0.55299999999999705"/>
    <s v="yes"/>
    <s v="yes"/>
    <s v="yes"/>
    <s v="Nesosydne"/>
    <x v="429"/>
    <x v="1"/>
  </r>
  <r>
    <s v="Zotu847"/>
    <n v="847"/>
    <n v="91.712999999999994"/>
    <n v="0.55299999999999705"/>
    <s v="yes"/>
    <s v="yes"/>
    <s v="yes"/>
    <s v="Nesosydne"/>
    <x v="429"/>
    <x v="1"/>
  </r>
  <r>
    <s v="Zotu134"/>
    <n v="134"/>
    <n v="91.712999999999994"/>
    <n v="91.712999999999994"/>
    <m/>
    <m/>
    <m/>
    <s v="Orsilochides"/>
    <x v="270"/>
    <x v="0"/>
  </r>
  <r>
    <s v="Zotu2328"/>
    <n v="2328"/>
    <n v="92.778000000000006"/>
    <n v="0.55600000000001204"/>
    <s v="yes"/>
    <s v="yes"/>
    <s v="Pariaconus montgomeri"/>
    <s v="Pariaconus"/>
    <x v="431"/>
    <x v="1"/>
  </r>
  <r>
    <s v="Zotu1167"/>
    <n v="1167"/>
    <n v="93.677999999999997"/>
    <n v="1.0229999999999999"/>
    <s v="yes"/>
    <s v="yes"/>
    <s v="yes"/>
    <s v="Pariaconus"/>
    <x v="432"/>
    <x v="1"/>
  </r>
  <r>
    <s v="Zotu1927"/>
    <n v="1927"/>
    <n v="96.685000000000002"/>
    <n v="3.3149999999999999"/>
    <s v="yes"/>
    <s v="yes"/>
    <s v="yes"/>
    <s v="Pariaconus"/>
    <x v="432"/>
    <x v="1"/>
  </r>
  <r>
    <s v="Zotu2116"/>
    <n v="2116"/>
    <n v="97.238"/>
    <n v="3.3149999999999999"/>
    <s v="yes"/>
    <s v="yes"/>
    <s v="yes"/>
    <s v="Pariaconus"/>
    <x v="432"/>
    <x v="1"/>
  </r>
  <r>
    <s v="Zotu2187"/>
    <n v="2187"/>
    <n v="92.265000000000001"/>
    <n v="0.59799999999999898"/>
    <s v="yes"/>
    <s v="yes"/>
    <s v="yes"/>
    <s v="Pariaconus"/>
    <x v="432"/>
    <x v="1"/>
  </r>
  <r>
    <s v="Zotu2399"/>
    <n v="2399"/>
    <n v="96.685000000000002"/>
    <n v="2.2100000000000102"/>
    <s v="yes"/>
    <s v="yes"/>
    <s v="yes"/>
    <s v="Pariaconus"/>
    <x v="432"/>
    <x v="1"/>
  </r>
  <r>
    <s v="Zotu331"/>
    <n v="331"/>
    <n v="92.655000000000001"/>
    <n v="0.126000000000005"/>
    <s v="yes"/>
    <s v="yes"/>
    <s v="yes"/>
    <s v="Pariaconus"/>
    <x v="432"/>
    <x v="1"/>
  </r>
  <r>
    <s v="Zotu2311"/>
    <n v="2311"/>
    <n v="93.442999999999998"/>
    <n v="93.442999999999998"/>
    <m/>
    <m/>
    <m/>
    <s v="Phantasca"/>
    <x v="433"/>
    <x v="1"/>
  </r>
  <r>
    <s v="Zotu1430"/>
    <n v="1430"/>
    <n v="91.429000000000002"/>
    <n v="0"/>
    <s v="yes"/>
    <s v="yes"/>
    <m/>
    <s v="Pogonognathellus"/>
    <x v="434"/>
    <x v="1"/>
  </r>
  <r>
    <s v="Zotu1395"/>
    <n v="1395"/>
    <n v="93.421000000000006"/>
    <n v="0"/>
    <s v="Hyalospheniidae"/>
    <s v="Planocarina"/>
    <s v="Planocarina carinata"/>
    <s v="Scotinotylus"/>
    <x v="435"/>
    <x v="1"/>
  </r>
  <r>
    <s v="Zotu2139"/>
    <n v="2139"/>
    <n v="93.421000000000006"/>
    <n v="0"/>
    <s v="Hyalospheniidae"/>
    <s v="Planocarina"/>
    <s v="Planocarina carinata"/>
    <s v="Scotinotylus"/>
    <x v="435"/>
    <x v="1"/>
  </r>
  <r>
    <s v="Zotu1073"/>
    <n v="1073"/>
    <n v="98.894999999999996"/>
    <n v="0.12999999999999501"/>
    <s v="yes"/>
    <s v="Nan"/>
    <s v="Talitridae sp. sc_02143"/>
    <s v="Talitroides"/>
    <x v="436"/>
    <x v="1"/>
  </r>
  <r>
    <s v="Zotu1543"/>
    <n v="1543"/>
    <n v="98.343000000000004"/>
    <n v="0.195000000000007"/>
    <s v="yes"/>
    <s v="Nan"/>
    <s v="Talitridae sp. sc_02143"/>
    <s v="Talitroides"/>
    <x v="436"/>
    <x v="1"/>
  </r>
  <r>
    <s v="Zotu1845"/>
    <n v="1845"/>
    <n v="93.888999999999996"/>
    <n v="9.9999999999994302E-2"/>
    <s v="yes"/>
    <s v="Nan"/>
    <s v="Talitridae sp. sc_02143"/>
    <s v="Talitroides"/>
    <x v="436"/>
    <x v="1"/>
  </r>
  <r>
    <s v="Zotu2243"/>
    <n v="2243"/>
    <n v="96.132999999999996"/>
    <n v="0.45399999999999402"/>
    <s v="yes"/>
    <s v="Nan"/>
    <s v="Talitridae sp. sc_02143"/>
    <s v="Talitroides"/>
    <x v="436"/>
    <x v="1"/>
  </r>
  <r>
    <s v="Zotu25"/>
    <n v="25"/>
    <n v="100"/>
    <n v="0.55200000000000704"/>
    <s v="yes"/>
    <s v="yes"/>
    <s v="yes"/>
    <s v="Talitroides"/>
    <x v="436"/>
    <x v="1"/>
  </r>
  <r>
    <s v="Zotu29"/>
    <n v="29"/>
    <n v="100"/>
    <n v="0.55200000000000704"/>
    <s v="yes"/>
    <s v="yes"/>
    <s v="yes"/>
    <s v="Talitroides"/>
    <x v="436"/>
    <x v="1"/>
  </r>
  <r>
    <s v="Zotu810"/>
    <n v="810"/>
    <n v="99.444000000000003"/>
    <n v="0.129000000000005"/>
    <s v="yes"/>
    <s v="yes"/>
    <s v="yes"/>
    <s v="Talitroides"/>
    <x v="436"/>
    <x v="1"/>
  </r>
  <r>
    <s v="Zotu977"/>
    <n v="977"/>
    <n v="97.278999999999996"/>
    <n v="4.0999999999996803E-2"/>
    <s v="yes"/>
    <s v="yes"/>
    <s v="yes"/>
    <s v="Talitroides"/>
    <x v="436"/>
    <x v="1"/>
  </r>
  <r>
    <s v="Zotu1003"/>
    <n v="1003"/>
    <n v="94.444000000000003"/>
    <n v="3.4000000000005998E-2"/>
    <s v="yes"/>
    <s v="Nan"/>
    <s v="Talitridae sp. sc_02143"/>
    <s v="Talitroides"/>
    <x v="436"/>
    <x v="1"/>
  </r>
  <r>
    <s v="Zotu688"/>
    <n v="688"/>
    <n v="97.79"/>
    <n v="0.51100000000001"/>
    <s v="yes"/>
    <s v="yes"/>
    <s v="yes"/>
    <s v="Talitroides"/>
    <x v="436"/>
    <x v="1"/>
  </r>
  <r>
    <s v="Zotu1527"/>
    <n v="1527"/>
    <n v="96.685000000000002"/>
    <n v="0.38899999999999602"/>
    <s v="yes"/>
    <s v="Nan"/>
    <s v="Talitridae sp. sc_02143"/>
    <s v="Talitroides"/>
    <x v="436"/>
    <x v="1"/>
  </r>
  <r>
    <s v="Zotu2237"/>
    <n v="2237"/>
    <n v="96.066999999999993"/>
    <n v="0.16099999999998699"/>
    <s v="yes"/>
    <s v="yes"/>
    <s v="yes"/>
    <s v="Tetragnatha"/>
    <x v="373"/>
    <x v="1"/>
  </r>
  <r>
    <s v="Zotu13"/>
    <n v="13"/>
    <n v="96.132999999999996"/>
    <n v="2.1999999999991401E-2"/>
    <s v="yes"/>
    <s v="yes"/>
    <s v="yes"/>
    <s v="Theridion"/>
    <x v="437"/>
    <x v="1"/>
  </r>
  <r>
    <s v="Zotu2284"/>
    <n v="2284"/>
    <n v="96.685000000000002"/>
    <n v="0.55200000000000704"/>
    <s v="yes"/>
    <s v="yes"/>
    <s v="yes"/>
    <s v="Theridion"/>
    <x v="437"/>
    <x v="1"/>
  </r>
  <r>
    <s v="Zotu2491"/>
    <n v="2491"/>
    <n v="96.685000000000002"/>
    <n v="96.685000000000002"/>
    <m/>
    <m/>
    <m/>
    <s v="Theridion"/>
    <x v="437"/>
    <x v="1"/>
  </r>
  <r>
    <s v="Zotu2579"/>
    <n v="2579"/>
    <n v="96.685000000000002"/>
    <n v="96.685000000000002"/>
    <m/>
    <m/>
    <m/>
    <s v="Theridion"/>
    <x v="437"/>
    <x v="1"/>
  </r>
  <r>
    <s v="Zotu426"/>
    <n v="426"/>
    <n v="97.238"/>
    <n v="1.6000000000005302E-2"/>
    <s v="yes"/>
    <s v="yes"/>
    <s v="yes"/>
    <s v="Theridion"/>
    <x v="437"/>
    <x v="1"/>
  </r>
  <r>
    <s v="Zotu2218"/>
    <n v="2218"/>
    <n v="96.132999999999996"/>
    <n v="0.55299999999999705"/>
    <s v="yes"/>
    <s v="yes"/>
    <s v="yes"/>
    <s v="Apochrysa"/>
    <x v="438"/>
    <x v="2"/>
  </r>
  <r>
    <s v="Zotu2565"/>
    <n v="2565"/>
    <n v="95.713999999999999"/>
    <n v="0.84199999999999897"/>
    <s v="Muscidae"/>
    <s v="Helina"/>
    <s v="Helina evecta"/>
    <s v="Cristarmadillidium"/>
    <x v="439"/>
    <x v="2"/>
  </r>
  <r>
    <s v="Zotu2317"/>
    <n v="2317"/>
    <n v="96.685000000000002"/>
    <n v="0"/>
    <s v="yes"/>
    <s v="Tymbophora"/>
    <s v="Tymbophora peltastis"/>
    <s v="Leptobelistis"/>
    <x v="440"/>
    <x v="2"/>
  </r>
  <r>
    <s v="Zotu1514"/>
    <n v="1514"/>
    <n v="96.132999999999996"/>
    <n v="2.1999999999991401E-2"/>
    <s v="Dolichopodidae"/>
    <s v="Nan"/>
    <s v="Sympycninae sp. BIOUG27398-C09"/>
    <s v="Limnospila"/>
    <x v="219"/>
    <x v="2"/>
  </r>
  <r>
    <s v="Zotu1090"/>
    <n v="1090"/>
    <n v="97.79"/>
    <n v="4.42"/>
    <s v="Dicyrtomidae"/>
    <s v="yes"/>
    <m/>
    <s v="Nan"/>
    <x v="307"/>
    <x v="2"/>
  </r>
  <r>
    <s v="Zotu622"/>
    <n v="622"/>
    <n v="94.444000000000003"/>
    <n v="0.126000000000005"/>
    <s v="Limoniidae"/>
    <s v="Conosia"/>
    <m/>
    <s v="Nan"/>
    <x v="307"/>
    <x v="2"/>
  </r>
  <r>
    <s v="Zotu2262"/>
    <n v="2262"/>
    <n v="91.025999999999996"/>
    <n v="91.025999999999996"/>
    <m/>
    <m/>
    <m/>
    <s v="Nan"/>
    <x v="441"/>
    <x v="2"/>
  </r>
  <r>
    <s v="Zotu1642"/>
    <n v="1642"/>
    <n v="95.832999999999998"/>
    <n v="95.832999999999998"/>
    <m/>
    <m/>
    <m/>
    <s v="Nan"/>
    <x v="123"/>
    <x v="2"/>
  </r>
  <r>
    <s v="Zotu1997"/>
    <n v="1997"/>
    <n v="91.045000000000002"/>
    <n v="0"/>
    <s v="yes"/>
    <s v="yes"/>
    <m/>
    <s v="Nan"/>
    <x v="442"/>
    <x v="2"/>
  </r>
  <r>
    <s v="Zotu2593"/>
    <n v="2593"/>
    <n v="96.685000000000002"/>
    <n v="0.55200000000000704"/>
    <s v="yes"/>
    <s v="yes"/>
    <s v="Sciaridae sp. BOLD:ACI5210"/>
    <s v="Nan"/>
    <x v="335"/>
    <x v="2"/>
  </r>
  <r>
    <s v="Zotu483"/>
    <n v="483"/>
    <n v="96.132999999999996"/>
    <n v="2.7629999999999901"/>
    <s v="Dicyrtomidae"/>
    <s v="yes"/>
    <m/>
    <s v="Nan"/>
    <x v="307"/>
    <x v="2"/>
  </r>
  <r>
    <s v="Zotu713"/>
    <n v="713"/>
    <n v="96.685000000000002"/>
    <n v="1.8000000000000699E-2"/>
    <s v="Gelechiidae"/>
    <s v="Chionodes"/>
    <s v="Chionodes thoraceochrella"/>
    <s v="Sympis"/>
    <x v="443"/>
    <x v="2"/>
  </r>
  <r>
    <m/>
    <m/>
    <m/>
    <m/>
    <m/>
    <m/>
    <m/>
    <m/>
    <x v="30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2A7715-E629-CA46-8E54-DFB25B9DCF66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449" firstHeaderRow="1" firstDataRow="2" firstDataCol="1"/>
  <pivotFields count="10">
    <pivotField showAll="0"/>
    <pivotField showAll="0"/>
    <pivotField showAll="0"/>
    <pivotField showAll="0"/>
    <pivotField showAll="0"/>
    <pivotField showAll="0"/>
    <pivotField showAll="0"/>
    <pivotField showAll="0"/>
    <pivotField axis="axisRow">
      <items count="445">
        <item x="408"/>
        <item x="0"/>
        <item x="1"/>
        <item x="2"/>
        <item x="3"/>
        <item x="4"/>
        <item x="5"/>
        <item x="6"/>
        <item x="7"/>
        <item x="8"/>
        <item x="9"/>
        <item x="409"/>
        <item x="10"/>
        <item x="11"/>
        <item x="12"/>
        <item x="13"/>
        <item x="410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43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441"/>
        <item x="67"/>
        <item x="68"/>
        <item x="69"/>
        <item x="70"/>
        <item x="71"/>
        <item x="72"/>
        <item x="73"/>
        <item x="74"/>
        <item x="75"/>
        <item x="411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251"/>
        <item x="98"/>
        <item x="99"/>
        <item x="412"/>
        <item x="100"/>
        <item x="101"/>
        <item x="102"/>
        <item x="103"/>
        <item x="104"/>
        <item x="413"/>
        <item x="105"/>
        <item x="106"/>
        <item x="107"/>
        <item x="108"/>
        <item x="109"/>
        <item x="439"/>
        <item x="110"/>
        <item x="111"/>
        <item x="112"/>
        <item x="113"/>
        <item x="424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414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425"/>
        <item x="156"/>
        <item x="157"/>
        <item x="158"/>
        <item x="159"/>
        <item x="160"/>
        <item x="161"/>
        <item x="162"/>
        <item x="426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415"/>
        <item x="416"/>
        <item x="417"/>
        <item x="418"/>
        <item x="419"/>
        <item x="420"/>
        <item x="421"/>
        <item x="193"/>
        <item x="194"/>
        <item x="195"/>
        <item x="196"/>
        <item x="422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44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423"/>
        <item x="249"/>
        <item x="250"/>
        <item x="252"/>
        <item x="253"/>
        <item x="254"/>
        <item x="255"/>
        <item x="429"/>
        <item x="430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427"/>
        <item x="282"/>
        <item x="431"/>
        <item x="432"/>
        <item x="283"/>
        <item x="284"/>
        <item x="285"/>
        <item x="433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434"/>
        <item x="302"/>
        <item x="303"/>
        <item x="304"/>
        <item x="442"/>
        <item x="305"/>
        <item x="306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435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428"/>
        <item x="354"/>
        <item x="355"/>
        <item x="356"/>
        <item x="357"/>
        <item x="358"/>
        <item x="359"/>
        <item x="360"/>
        <item x="361"/>
        <item x="443"/>
        <item x="362"/>
        <item x="363"/>
        <item x="364"/>
        <item x="365"/>
        <item x="436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437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307"/>
        <item t="default"/>
      </items>
    </pivotField>
    <pivotField axis="axisCol" dataField="1" showAll="0">
      <items count="4">
        <item x="0"/>
        <item x="1"/>
        <item x="2"/>
        <item t="default"/>
      </items>
    </pivotField>
  </pivotFields>
  <rowFields count="1">
    <field x="8"/>
  </rowFields>
  <rowItems count="4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Count of status_genus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86866-E5DB-D446-BA07-FAFF35237695}">
  <dimension ref="A3:E449"/>
  <sheetViews>
    <sheetView topLeftCell="A494" workbookViewId="0">
      <selection activeCell="F446" sqref="A412:F446"/>
    </sheetView>
  </sheetViews>
  <sheetFormatPr baseColWidth="10" defaultRowHeight="15" x14ac:dyDescent="0.2"/>
  <cols>
    <col min="1" max="1" width="37.6640625" bestFit="1" customWidth="1"/>
    <col min="2" max="2" width="14.83203125" bestFit="1" customWidth="1"/>
    <col min="3" max="3" width="6" bestFit="1" customWidth="1"/>
    <col min="4" max="4" width="6.33203125" bestFit="1" customWidth="1"/>
    <col min="5" max="5" width="10" bestFit="1" customWidth="1"/>
    <col min="6" max="6" width="17.83203125" bestFit="1" customWidth="1"/>
    <col min="7" max="7" width="24.83203125" bestFit="1" customWidth="1"/>
    <col min="8" max="8" width="27.5" bestFit="1" customWidth="1"/>
    <col min="9" max="9" width="14.6640625" bestFit="1" customWidth="1"/>
    <col min="10" max="10" width="17.33203125" bestFit="1" customWidth="1"/>
    <col min="11" max="11" width="15" bestFit="1" customWidth="1"/>
    <col min="12" max="12" width="17.6640625" bestFit="1" customWidth="1"/>
    <col min="13" max="13" width="13.6640625" bestFit="1" customWidth="1"/>
    <col min="14" max="14" width="16.33203125" bestFit="1" customWidth="1"/>
    <col min="15" max="15" width="20.5" bestFit="1" customWidth="1"/>
    <col min="16" max="16" width="23.1640625" bestFit="1" customWidth="1"/>
    <col min="17" max="17" width="16.5" bestFit="1" customWidth="1"/>
    <col min="18" max="18" width="19.1640625" bestFit="1" customWidth="1"/>
    <col min="19" max="19" width="16.83203125" bestFit="1" customWidth="1"/>
    <col min="20" max="20" width="19.5" bestFit="1" customWidth="1"/>
    <col min="21" max="21" width="16" bestFit="1" customWidth="1"/>
    <col min="22" max="22" width="18.6640625" bestFit="1" customWidth="1"/>
    <col min="23" max="23" width="11.83203125" bestFit="1" customWidth="1"/>
    <col min="24" max="24" width="14.33203125" bestFit="1" customWidth="1"/>
    <col min="25" max="25" width="18.1640625" bestFit="1" customWidth="1"/>
    <col min="26" max="26" width="20.6640625" bestFit="1" customWidth="1"/>
    <col min="27" max="27" width="16.33203125" bestFit="1" customWidth="1"/>
    <col min="28" max="28" width="19" bestFit="1" customWidth="1"/>
    <col min="29" max="29" width="21.1640625" bestFit="1" customWidth="1"/>
    <col min="30" max="30" width="23.83203125" bestFit="1" customWidth="1"/>
    <col min="31" max="31" width="17" bestFit="1" customWidth="1"/>
    <col min="32" max="32" width="19.6640625" bestFit="1" customWidth="1"/>
    <col min="33" max="33" width="22.83203125" bestFit="1" customWidth="1"/>
    <col min="34" max="34" width="25.5" bestFit="1" customWidth="1"/>
    <col min="35" max="35" width="14.6640625" bestFit="1" customWidth="1"/>
    <col min="36" max="36" width="17.33203125" bestFit="1" customWidth="1"/>
    <col min="37" max="37" width="14.6640625" bestFit="1" customWidth="1"/>
    <col min="38" max="38" width="17.33203125" bestFit="1" customWidth="1"/>
    <col min="39" max="39" width="16.33203125" bestFit="1" customWidth="1"/>
    <col min="40" max="40" width="19" bestFit="1" customWidth="1"/>
    <col min="41" max="41" width="30.6640625" bestFit="1" customWidth="1"/>
    <col min="42" max="42" width="33.33203125" bestFit="1" customWidth="1"/>
    <col min="43" max="43" width="18.1640625" bestFit="1" customWidth="1"/>
    <col min="44" max="44" width="20.6640625" bestFit="1" customWidth="1"/>
    <col min="45" max="45" width="20" bestFit="1" customWidth="1"/>
    <col min="46" max="46" width="22.6640625" bestFit="1" customWidth="1"/>
    <col min="47" max="47" width="22.83203125" bestFit="1" customWidth="1"/>
    <col min="48" max="48" width="25.5" bestFit="1" customWidth="1"/>
    <col min="49" max="49" width="26.1640625" bestFit="1" customWidth="1"/>
    <col min="50" max="50" width="28.83203125" bestFit="1" customWidth="1"/>
    <col min="51" max="51" width="17.1640625" bestFit="1" customWidth="1"/>
    <col min="52" max="52" width="19.83203125" bestFit="1" customWidth="1"/>
    <col min="53" max="53" width="17.1640625" bestFit="1" customWidth="1"/>
    <col min="54" max="54" width="19.83203125" bestFit="1" customWidth="1"/>
    <col min="55" max="55" width="13.5" bestFit="1" customWidth="1"/>
    <col min="56" max="56" width="16" bestFit="1" customWidth="1"/>
    <col min="57" max="57" width="15.33203125" bestFit="1" customWidth="1"/>
    <col min="58" max="58" width="18" bestFit="1" customWidth="1"/>
    <col min="59" max="59" width="13.5" bestFit="1" customWidth="1"/>
    <col min="60" max="60" width="16" bestFit="1" customWidth="1"/>
    <col min="61" max="61" width="11.1640625" bestFit="1" customWidth="1"/>
    <col min="62" max="62" width="13.6640625" bestFit="1" customWidth="1"/>
    <col min="63" max="63" width="19.5" bestFit="1" customWidth="1"/>
    <col min="64" max="64" width="22.1640625" bestFit="1" customWidth="1"/>
    <col min="65" max="65" width="13.5" bestFit="1" customWidth="1"/>
    <col min="66" max="66" width="16" bestFit="1" customWidth="1"/>
    <col min="67" max="67" width="21" bestFit="1" customWidth="1"/>
    <col min="68" max="68" width="23.6640625" bestFit="1" customWidth="1"/>
    <col min="69" max="69" width="15.33203125" bestFit="1" customWidth="1"/>
    <col min="70" max="70" width="18" bestFit="1" customWidth="1"/>
    <col min="71" max="71" width="21" bestFit="1" customWidth="1"/>
    <col min="72" max="72" width="23.6640625" bestFit="1" customWidth="1"/>
    <col min="73" max="73" width="19.83203125" bestFit="1" customWidth="1"/>
    <col min="74" max="74" width="22.5" bestFit="1" customWidth="1"/>
    <col min="75" max="75" width="23.33203125" bestFit="1" customWidth="1"/>
    <col min="76" max="76" width="25.83203125" bestFit="1" customWidth="1"/>
    <col min="77" max="77" width="16.1640625" bestFit="1" customWidth="1"/>
    <col min="78" max="78" width="18.83203125" bestFit="1" customWidth="1"/>
    <col min="79" max="79" width="12.83203125" bestFit="1" customWidth="1"/>
    <col min="80" max="80" width="15.33203125" bestFit="1" customWidth="1"/>
    <col min="81" max="81" width="16.1640625" bestFit="1" customWidth="1"/>
    <col min="82" max="82" width="18.83203125" bestFit="1" customWidth="1"/>
    <col min="83" max="83" width="11.33203125" bestFit="1" customWidth="1"/>
    <col min="84" max="84" width="13.83203125" bestFit="1" customWidth="1"/>
    <col min="85" max="85" width="15.83203125" bestFit="1" customWidth="1"/>
    <col min="86" max="86" width="18.5" bestFit="1" customWidth="1"/>
    <col min="87" max="87" width="15.6640625" bestFit="1" customWidth="1"/>
    <col min="88" max="88" width="18.33203125" bestFit="1" customWidth="1"/>
    <col min="89" max="89" width="16" bestFit="1" customWidth="1"/>
    <col min="90" max="90" width="18.6640625" bestFit="1" customWidth="1"/>
    <col min="91" max="91" width="19.6640625" bestFit="1" customWidth="1"/>
    <col min="92" max="92" width="22.33203125" bestFit="1" customWidth="1"/>
    <col min="93" max="93" width="14.83203125" bestFit="1" customWidth="1"/>
    <col min="94" max="94" width="17.5" bestFit="1" customWidth="1"/>
    <col min="95" max="95" width="14.83203125" bestFit="1" customWidth="1"/>
    <col min="96" max="96" width="17.5" bestFit="1" customWidth="1"/>
    <col min="97" max="97" width="17.33203125" bestFit="1" customWidth="1"/>
    <col min="98" max="98" width="20" bestFit="1" customWidth="1"/>
    <col min="99" max="99" width="18.1640625" bestFit="1" customWidth="1"/>
    <col min="100" max="100" width="20.6640625" bestFit="1" customWidth="1"/>
    <col min="101" max="101" width="12.5" bestFit="1" customWidth="1"/>
    <col min="102" max="102" width="15" bestFit="1" customWidth="1"/>
    <col min="103" max="103" width="12.1640625" bestFit="1" customWidth="1"/>
    <col min="104" max="104" width="14.6640625" bestFit="1" customWidth="1"/>
    <col min="105" max="105" width="15.83203125" bestFit="1" customWidth="1"/>
    <col min="106" max="106" width="18.5" bestFit="1" customWidth="1"/>
    <col min="107" max="107" width="21.83203125" bestFit="1" customWidth="1"/>
    <col min="108" max="108" width="24.5" bestFit="1" customWidth="1"/>
    <col min="109" max="109" width="13.83203125" bestFit="1" customWidth="1"/>
    <col min="110" max="110" width="16.5" bestFit="1" customWidth="1"/>
    <col min="111" max="111" width="26.33203125" bestFit="1" customWidth="1"/>
    <col min="112" max="112" width="29" bestFit="1" customWidth="1"/>
    <col min="113" max="113" width="28.5" bestFit="1" customWidth="1"/>
    <col min="114" max="114" width="31" bestFit="1" customWidth="1"/>
    <col min="115" max="115" width="15.83203125" bestFit="1" customWidth="1"/>
    <col min="116" max="116" width="18.5" bestFit="1" customWidth="1"/>
    <col min="117" max="118" width="18.1640625" bestFit="1" customWidth="1"/>
    <col min="119" max="119" width="20.6640625" bestFit="1" customWidth="1"/>
    <col min="120" max="120" width="17.33203125" bestFit="1" customWidth="1"/>
    <col min="121" max="121" width="20" bestFit="1" customWidth="1"/>
    <col min="122" max="122" width="21.1640625" bestFit="1" customWidth="1"/>
    <col min="123" max="123" width="23.83203125" bestFit="1" customWidth="1"/>
    <col min="124" max="124" width="20.6640625" bestFit="1" customWidth="1"/>
    <col min="125" max="125" width="23.33203125" bestFit="1" customWidth="1"/>
    <col min="126" max="126" width="25.33203125" bestFit="1" customWidth="1"/>
    <col min="127" max="127" width="28" bestFit="1" customWidth="1"/>
    <col min="128" max="128" width="23.1640625" bestFit="1" customWidth="1"/>
    <col min="129" max="129" width="25.6640625" bestFit="1" customWidth="1"/>
    <col min="130" max="130" width="12.1640625" bestFit="1" customWidth="1"/>
    <col min="131" max="131" width="14.6640625" bestFit="1" customWidth="1"/>
    <col min="132" max="132" width="28.33203125" bestFit="1" customWidth="1"/>
    <col min="133" max="133" width="30.83203125" bestFit="1" customWidth="1"/>
    <col min="134" max="134" width="23.1640625" bestFit="1" customWidth="1"/>
    <col min="135" max="135" width="25.6640625" bestFit="1" customWidth="1"/>
    <col min="136" max="136" width="20.5" bestFit="1" customWidth="1"/>
    <col min="137" max="137" width="23.1640625" bestFit="1" customWidth="1"/>
    <col min="138" max="138" width="15.83203125" bestFit="1" customWidth="1"/>
    <col min="139" max="139" width="18.5" bestFit="1" customWidth="1"/>
    <col min="140" max="140" width="30.6640625" bestFit="1" customWidth="1"/>
    <col min="141" max="141" width="33.33203125" bestFit="1" customWidth="1"/>
    <col min="142" max="142" width="18" bestFit="1" customWidth="1"/>
    <col min="143" max="143" width="20.5" bestFit="1" customWidth="1"/>
    <col min="144" max="144" width="14.6640625" bestFit="1" customWidth="1"/>
    <col min="145" max="145" width="17.33203125" bestFit="1" customWidth="1"/>
    <col min="146" max="146" width="18.6640625" bestFit="1" customWidth="1"/>
    <col min="147" max="147" width="21.1640625" bestFit="1" customWidth="1"/>
    <col min="148" max="148" width="21" bestFit="1" customWidth="1"/>
    <col min="149" max="149" width="23.6640625" bestFit="1" customWidth="1"/>
    <col min="150" max="150" width="25.6640625" bestFit="1" customWidth="1"/>
    <col min="151" max="151" width="28.33203125" bestFit="1" customWidth="1"/>
    <col min="152" max="152" width="15.83203125" bestFit="1" customWidth="1"/>
    <col min="153" max="153" width="18.5" bestFit="1" customWidth="1"/>
    <col min="154" max="154" width="16.83203125" bestFit="1" customWidth="1"/>
    <col min="155" max="155" width="19.5" bestFit="1" customWidth="1"/>
    <col min="156" max="156" width="29.5" bestFit="1" customWidth="1"/>
    <col min="157" max="157" width="32.1640625" bestFit="1" customWidth="1"/>
    <col min="158" max="158" width="29.6640625" bestFit="1" customWidth="1"/>
    <col min="159" max="159" width="32.33203125" bestFit="1" customWidth="1"/>
    <col min="160" max="160" width="29.5" bestFit="1" customWidth="1"/>
    <col min="161" max="161" width="32.1640625" bestFit="1" customWidth="1"/>
    <col min="162" max="162" width="19.5" bestFit="1" customWidth="1"/>
    <col min="163" max="163" width="22.1640625" bestFit="1" customWidth="1"/>
    <col min="164" max="164" width="17" bestFit="1" customWidth="1"/>
    <col min="165" max="165" width="19.6640625" bestFit="1" customWidth="1"/>
    <col min="166" max="166" width="15" bestFit="1" customWidth="1"/>
    <col min="167" max="167" width="17.6640625" bestFit="1" customWidth="1"/>
    <col min="168" max="168" width="31.33203125" bestFit="1" customWidth="1"/>
    <col min="169" max="169" width="34" bestFit="1" customWidth="1"/>
    <col min="170" max="170" width="21" bestFit="1" customWidth="1"/>
    <col min="171" max="171" width="23.6640625" bestFit="1" customWidth="1"/>
    <col min="172" max="172" width="23.1640625" bestFit="1" customWidth="1"/>
    <col min="173" max="173" width="25.6640625" bestFit="1" customWidth="1"/>
    <col min="174" max="174" width="28.33203125" bestFit="1" customWidth="1"/>
    <col min="175" max="175" width="30.83203125" bestFit="1" customWidth="1"/>
    <col min="176" max="176" width="21" bestFit="1" customWidth="1"/>
    <col min="177" max="177" width="23.6640625" bestFit="1" customWidth="1"/>
    <col min="178" max="178" width="24" bestFit="1" customWidth="1"/>
    <col min="179" max="179" width="26.6640625" bestFit="1" customWidth="1"/>
    <col min="180" max="180" width="29.1640625" bestFit="1" customWidth="1"/>
    <col min="181" max="181" width="31.83203125" bestFit="1" customWidth="1"/>
    <col min="182" max="182" width="28" bestFit="1" customWidth="1"/>
    <col min="183" max="183" width="30.6640625" bestFit="1" customWidth="1"/>
    <col min="184" max="184" width="32" bestFit="1" customWidth="1"/>
    <col min="185" max="185" width="34.6640625" bestFit="1" customWidth="1"/>
    <col min="186" max="186" width="15.1640625" bestFit="1" customWidth="1"/>
    <col min="187" max="187" width="17.83203125" bestFit="1" customWidth="1"/>
    <col min="188" max="188" width="22.6640625" bestFit="1" customWidth="1"/>
    <col min="189" max="189" width="25.33203125" bestFit="1" customWidth="1"/>
    <col min="190" max="190" width="22.6640625" bestFit="1" customWidth="1"/>
    <col min="191" max="191" width="25.33203125" bestFit="1" customWidth="1"/>
    <col min="192" max="192" width="18.6640625" bestFit="1" customWidth="1"/>
    <col min="193" max="193" width="21.1640625" bestFit="1" customWidth="1"/>
    <col min="194" max="194" width="29.1640625" bestFit="1" customWidth="1"/>
    <col min="195" max="195" width="31.83203125" bestFit="1" customWidth="1"/>
    <col min="196" max="196" width="22.6640625" bestFit="1" customWidth="1"/>
    <col min="197" max="197" width="25.33203125" bestFit="1" customWidth="1"/>
    <col min="198" max="198" width="18.33203125" bestFit="1" customWidth="1"/>
    <col min="199" max="199" width="20.83203125" bestFit="1" customWidth="1"/>
    <col min="200" max="200" width="23.6640625" bestFit="1" customWidth="1"/>
    <col min="201" max="201" width="26.1640625" bestFit="1" customWidth="1"/>
    <col min="202" max="202" width="20.1640625" bestFit="1" customWidth="1"/>
    <col min="203" max="203" width="22.83203125" bestFit="1" customWidth="1"/>
    <col min="204" max="204" width="16.1640625" bestFit="1" customWidth="1"/>
    <col min="205" max="205" width="18.83203125" bestFit="1" customWidth="1"/>
    <col min="206" max="206" width="15.83203125" bestFit="1" customWidth="1"/>
    <col min="207" max="207" width="18.5" bestFit="1" customWidth="1"/>
    <col min="208" max="208" width="28.83203125" bestFit="1" customWidth="1"/>
    <col min="209" max="209" width="31.33203125" bestFit="1" customWidth="1"/>
    <col min="210" max="210" width="39.6640625" bestFit="1" customWidth="1"/>
    <col min="211" max="211" width="42.33203125" bestFit="1" customWidth="1"/>
    <col min="212" max="212" width="18" bestFit="1" customWidth="1"/>
    <col min="213" max="213" width="20.5" bestFit="1" customWidth="1"/>
    <col min="214" max="214" width="14" bestFit="1" customWidth="1"/>
    <col min="215" max="215" width="16.6640625" bestFit="1" customWidth="1"/>
    <col min="216" max="216" width="20.33203125" bestFit="1" customWidth="1"/>
    <col min="217" max="217" width="23" bestFit="1" customWidth="1"/>
    <col min="218" max="218" width="15.5" bestFit="1" customWidth="1"/>
    <col min="219" max="219" width="18.1640625" bestFit="1" customWidth="1"/>
    <col min="220" max="220" width="27" bestFit="1" customWidth="1"/>
    <col min="221" max="221" width="29.6640625" bestFit="1" customWidth="1"/>
    <col min="222" max="222" width="17.1640625" bestFit="1" customWidth="1"/>
    <col min="223" max="223" width="19.83203125" bestFit="1" customWidth="1"/>
    <col min="224" max="224" width="15" bestFit="1" customWidth="1"/>
    <col min="225" max="225" width="17.6640625" bestFit="1" customWidth="1"/>
    <col min="226" max="226" width="24.1640625" bestFit="1" customWidth="1"/>
    <col min="227" max="227" width="26.83203125" bestFit="1" customWidth="1"/>
    <col min="228" max="228" width="24" bestFit="1" customWidth="1"/>
    <col min="229" max="229" width="26.6640625" bestFit="1" customWidth="1"/>
    <col min="230" max="230" width="15.33203125" bestFit="1" customWidth="1"/>
    <col min="231" max="231" width="18" bestFit="1" customWidth="1"/>
    <col min="232" max="232" width="22" bestFit="1" customWidth="1"/>
    <col min="233" max="233" width="24.6640625" bestFit="1" customWidth="1"/>
    <col min="234" max="234" width="33.6640625" bestFit="1" customWidth="1"/>
    <col min="235" max="235" width="36.1640625" bestFit="1" customWidth="1"/>
    <col min="236" max="236" width="24.6640625" bestFit="1" customWidth="1"/>
    <col min="237" max="237" width="27.33203125" bestFit="1" customWidth="1"/>
    <col min="238" max="238" width="15.6640625" bestFit="1" customWidth="1"/>
    <col min="239" max="239" width="18.33203125" bestFit="1" customWidth="1"/>
    <col min="240" max="240" width="30.83203125" bestFit="1" customWidth="1"/>
    <col min="241" max="241" width="33.5" bestFit="1" customWidth="1"/>
    <col min="242" max="242" width="18.33203125" bestFit="1" customWidth="1"/>
    <col min="243" max="243" width="20.83203125" bestFit="1" customWidth="1"/>
    <col min="244" max="244" width="21" bestFit="1" customWidth="1"/>
    <col min="245" max="245" width="23.6640625" bestFit="1" customWidth="1"/>
    <col min="246" max="246" width="15.5" bestFit="1" customWidth="1"/>
    <col min="247" max="247" width="18.1640625" bestFit="1" customWidth="1"/>
    <col min="248" max="248" width="13.1640625" bestFit="1" customWidth="1"/>
    <col min="249" max="249" width="15.6640625" bestFit="1" customWidth="1"/>
    <col min="250" max="250" width="25.33203125" bestFit="1" customWidth="1"/>
    <col min="251" max="251" width="28" bestFit="1" customWidth="1"/>
    <col min="252" max="252" width="39.6640625" bestFit="1" customWidth="1"/>
    <col min="253" max="253" width="42.33203125" bestFit="1" customWidth="1"/>
    <col min="254" max="254" width="39.6640625" bestFit="1" customWidth="1"/>
    <col min="255" max="255" width="42.33203125" bestFit="1" customWidth="1"/>
    <col min="256" max="256" width="28.5" bestFit="1" customWidth="1"/>
    <col min="257" max="257" width="31" bestFit="1" customWidth="1"/>
    <col min="258" max="258" width="13.83203125" bestFit="1" customWidth="1"/>
    <col min="259" max="259" width="16.5" bestFit="1" customWidth="1"/>
    <col min="260" max="260" width="24.5" bestFit="1" customWidth="1"/>
    <col min="261" max="261" width="27.1640625" bestFit="1" customWidth="1"/>
    <col min="262" max="262" width="18.33203125" bestFit="1" customWidth="1"/>
    <col min="263" max="263" width="20.83203125" bestFit="1" customWidth="1"/>
    <col min="264" max="265" width="15" bestFit="1" customWidth="1"/>
    <col min="266" max="266" width="17.6640625" bestFit="1" customWidth="1"/>
    <col min="267" max="267" width="18" bestFit="1" customWidth="1"/>
    <col min="268" max="268" width="20.5" bestFit="1" customWidth="1"/>
    <col min="269" max="269" width="19.1640625" bestFit="1" customWidth="1"/>
    <col min="270" max="270" width="21.83203125" bestFit="1" customWidth="1"/>
    <col min="271" max="272" width="27.6640625" bestFit="1" customWidth="1"/>
    <col min="273" max="273" width="30.33203125" bestFit="1" customWidth="1"/>
    <col min="274" max="274" width="18" bestFit="1" customWidth="1"/>
    <col min="275" max="275" width="20.5" bestFit="1" customWidth="1"/>
    <col min="276" max="276" width="21" bestFit="1" customWidth="1"/>
    <col min="277" max="277" width="23.6640625" bestFit="1" customWidth="1"/>
    <col min="278" max="278" width="22.1640625" bestFit="1" customWidth="1"/>
    <col min="279" max="279" width="24.83203125" bestFit="1" customWidth="1"/>
    <col min="280" max="280" width="15.33203125" bestFit="1" customWidth="1"/>
    <col min="281" max="281" width="18" bestFit="1" customWidth="1"/>
    <col min="282" max="282" width="23.6640625" bestFit="1" customWidth="1"/>
    <col min="283" max="283" width="26.1640625" bestFit="1" customWidth="1"/>
    <col min="284" max="284" width="17.33203125" bestFit="1" customWidth="1"/>
    <col min="285" max="285" width="20" bestFit="1" customWidth="1"/>
    <col min="286" max="286" width="24.1640625" bestFit="1" customWidth="1"/>
    <col min="287" max="287" width="26.83203125" bestFit="1" customWidth="1"/>
    <col min="288" max="288" width="14.6640625" bestFit="1" customWidth="1"/>
    <col min="289" max="289" width="17.33203125" bestFit="1" customWidth="1"/>
    <col min="290" max="290" width="13.33203125" bestFit="1" customWidth="1"/>
    <col min="291" max="291" width="15.83203125" bestFit="1" customWidth="1"/>
    <col min="292" max="292" width="14.33203125" bestFit="1" customWidth="1"/>
    <col min="293" max="293" width="17" bestFit="1" customWidth="1"/>
    <col min="294" max="294" width="17.6640625" bestFit="1" customWidth="1"/>
    <col min="295" max="295" width="20.33203125" bestFit="1" customWidth="1"/>
    <col min="296" max="296" width="31.1640625" bestFit="1" customWidth="1"/>
    <col min="297" max="297" width="33.83203125" bestFit="1" customWidth="1"/>
    <col min="298" max="298" width="25.6640625" bestFit="1" customWidth="1"/>
    <col min="299" max="299" width="28.33203125" bestFit="1" customWidth="1"/>
    <col min="300" max="300" width="25.6640625" bestFit="1" customWidth="1"/>
    <col min="301" max="301" width="28.33203125" bestFit="1" customWidth="1"/>
    <col min="302" max="303" width="20.33203125" bestFit="1" customWidth="1"/>
    <col min="304" max="304" width="23" bestFit="1" customWidth="1"/>
    <col min="305" max="305" width="24.5" bestFit="1" customWidth="1"/>
    <col min="306" max="306" width="27.1640625" bestFit="1" customWidth="1"/>
    <col min="307" max="307" width="20.33203125" bestFit="1" customWidth="1"/>
    <col min="308" max="308" width="23" bestFit="1" customWidth="1"/>
    <col min="309" max="309" width="18.1640625" bestFit="1" customWidth="1"/>
    <col min="310" max="310" width="20.6640625" bestFit="1" customWidth="1"/>
    <col min="311" max="311" width="18.33203125" bestFit="1" customWidth="1"/>
    <col min="312" max="312" width="20.83203125" bestFit="1" customWidth="1"/>
    <col min="313" max="313" width="16.6640625" bestFit="1" customWidth="1"/>
    <col min="314" max="314" width="19.33203125" bestFit="1" customWidth="1"/>
    <col min="315" max="315" width="20.33203125" bestFit="1" customWidth="1"/>
    <col min="316" max="316" width="23" bestFit="1" customWidth="1"/>
    <col min="317" max="317" width="21.83203125" bestFit="1" customWidth="1"/>
    <col min="318" max="318" width="24.5" bestFit="1" customWidth="1"/>
    <col min="319" max="320" width="22" bestFit="1" customWidth="1"/>
    <col min="321" max="321" width="24.6640625" bestFit="1" customWidth="1"/>
    <col min="322" max="322" width="21" bestFit="1" customWidth="1"/>
    <col min="323" max="323" width="23.6640625" bestFit="1" customWidth="1"/>
    <col min="324" max="324" width="22.6640625" bestFit="1" customWidth="1"/>
    <col min="325" max="325" width="25.33203125" bestFit="1" customWidth="1"/>
    <col min="326" max="326" width="13.1640625" bestFit="1" customWidth="1"/>
    <col min="327" max="327" width="15.6640625" bestFit="1" customWidth="1"/>
    <col min="328" max="328" width="18.83203125" bestFit="1" customWidth="1"/>
    <col min="329" max="329" width="21.5" bestFit="1" customWidth="1"/>
    <col min="330" max="330" width="20.6640625" bestFit="1" customWidth="1"/>
    <col min="331" max="331" width="23.33203125" bestFit="1" customWidth="1"/>
    <col min="332" max="332" width="15" bestFit="1" customWidth="1"/>
    <col min="333" max="333" width="17.6640625" bestFit="1" customWidth="1"/>
    <col min="334" max="334" width="22.1640625" bestFit="1" customWidth="1"/>
    <col min="335" max="335" width="24.83203125" bestFit="1" customWidth="1"/>
    <col min="336" max="336" width="18.5" bestFit="1" customWidth="1"/>
    <col min="337" max="337" width="21" bestFit="1" customWidth="1"/>
    <col min="338" max="338" width="20.6640625" bestFit="1" customWidth="1"/>
    <col min="339" max="339" width="23.33203125" bestFit="1" customWidth="1"/>
    <col min="340" max="340" width="17.33203125" bestFit="1" customWidth="1"/>
    <col min="341" max="341" width="20" bestFit="1" customWidth="1"/>
    <col min="342" max="342" width="31.33203125" bestFit="1" customWidth="1"/>
    <col min="343" max="343" width="34" bestFit="1" customWidth="1"/>
    <col min="344" max="344" width="19.5" bestFit="1" customWidth="1"/>
    <col min="345" max="345" width="22.1640625" bestFit="1" customWidth="1"/>
    <col min="346" max="346" width="16.83203125" bestFit="1" customWidth="1"/>
    <col min="347" max="347" width="19.5" bestFit="1" customWidth="1"/>
    <col min="348" max="348" width="26.1640625" bestFit="1" customWidth="1"/>
    <col min="349" max="349" width="28.83203125" bestFit="1" customWidth="1"/>
    <col min="350" max="350" width="17.6640625" bestFit="1" customWidth="1"/>
    <col min="351" max="351" width="20.33203125" bestFit="1" customWidth="1"/>
    <col min="352" max="352" width="19.1640625" bestFit="1" customWidth="1"/>
    <col min="353" max="353" width="21.83203125" bestFit="1" customWidth="1"/>
    <col min="354" max="354" width="21.1640625" bestFit="1" customWidth="1"/>
    <col min="355" max="355" width="23.83203125" bestFit="1" customWidth="1"/>
    <col min="356" max="356" width="26.83203125" bestFit="1" customWidth="1"/>
    <col min="357" max="357" width="29.5" bestFit="1" customWidth="1"/>
    <col min="358" max="358" width="26" bestFit="1" customWidth="1"/>
    <col min="359" max="359" width="28.6640625" bestFit="1" customWidth="1"/>
    <col min="360" max="360" width="21.5" bestFit="1" customWidth="1"/>
    <col min="361" max="361" width="24.1640625" bestFit="1" customWidth="1"/>
    <col min="362" max="362" width="23.1640625" bestFit="1" customWidth="1"/>
    <col min="363" max="363" width="25.6640625" bestFit="1" customWidth="1"/>
    <col min="364" max="364" width="18.6640625" bestFit="1" customWidth="1"/>
    <col min="365" max="365" width="21.1640625" bestFit="1" customWidth="1"/>
    <col min="366" max="366" width="26" bestFit="1" customWidth="1"/>
    <col min="367" max="367" width="28.6640625" bestFit="1" customWidth="1"/>
    <col min="368" max="368" width="19.6640625" bestFit="1" customWidth="1"/>
    <col min="369" max="369" width="22.33203125" bestFit="1" customWidth="1"/>
    <col min="370" max="370" width="19" bestFit="1" customWidth="1"/>
    <col min="371" max="371" width="21.6640625" bestFit="1" customWidth="1"/>
    <col min="372" max="372" width="27.5" bestFit="1" customWidth="1"/>
    <col min="373" max="373" width="30.1640625" bestFit="1" customWidth="1"/>
    <col min="374" max="374" width="17" bestFit="1" customWidth="1"/>
    <col min="375" max="375" width="19.6640625" bestFit="1" customWidth="1"/>
    <col min="376" max="376" width="20.5" bestFit="1" customWidth="1"/>
    <col min="377" max="377" width="23.1640625" bestFit="1" customWidth="1"/>
    <col min="378" max="378" width="19.5" bestFit="1" customWidth="1"/>
    <col min="379" max="379" width="22.1640625" bestFit="1" customWidth="1"/>
    <col min="380" max="380" width="26.33203125" bestFit="1" customWidth="1"/>
    <col min="381" max="381" width="29" bestFit="1" customWidth="1"/>
    <col min="382" max="382" width="13.5" bestFit="1" customWidth="1"/>
    <col min="383" max="383" width="16" bestFit="1" customWidth="1"/>
    <col min="384" max="384" width="29.33203125" bestFit="1" customWidth="1"/>
    <col min="385" max="385" width="32" bestFit="1" customWidth="1"/>
    <col min="386" max="386" width="22.83203125" bestFit="1" customWidth="1"/>
    <col min="387" max="387" width="25.5" bestFit="1" customWidth="1"/>
    <col min="388" max="388" width="16.6640625" bestFit="1" customWidth="1"/>
    <col min="389" max="389" width="19.33203125" bestFit="1" customWidth="1"/>
    <col min="390" max="390" width="19.83203125" bestFit="1" customWidth="1"/>
    <col min="391" max="391" width="22.5" bestFit="1" customWidth="1"/>
    <col min="392" max="393" width="20.1640625" bestFit="1" customWidth="1"/>
    <col min="394" max="394" width="22.83203125" bestFit="1" customWidth="1"/>
    <col min="395" max="395" width="24.1640625" bestFit="1" customWidth="1"/>
    <col min="396" max="396" width="26.83203125" bestFit="1" customWidth="1"/>
    <col min="397" max="397" width="17.6640625" bestFit="1" customWidth="1"/>
    <col min="398" max="398" width="20.33203125" bestFit="1" customWidth="1"/>
    <col min="399" max="399" width="24.83203125" bestFit="1" customWidth="1"/>
    <col min="400" max="400" width="27.5" bestFit="1" customWidth="1"/>
    <col min="401" max="401" width="29.5" bestFit="1" customWidth="1"/>
    <col min="402" max="402" width="32.1640625" bestFit="1" customWidth="1"/>
    <col min="403" max="403" width="19.1640625" bestFit="1" customWidth="1"/>
    <col min="404" max="404" width="21.83203125" bestFit="1" customWidth="1"/>
    <col min="405" max="406" width="25.33203125" bestFit="1" customWidth="1"/>
    <col min="407" max="407" width="28" bestFit="1" customWidth="1"/>
    <col min="408" max="408" width="21.1640625" bestFit="1" customWidth="1"/>
    <col min="409" max="409" width="23.83203125" bestFit="1" customWidth="1"/>
    <col min="410" max="410" width="20.6640625" bestFit="1" customWidth="1"/>
    <col min="411" max="411" width="23.33203125" bestFit="1" customWidth="1"/>
    <col min="412" max="412" width="14.83203125" bestFit="1" customWidth="1"/>
    <col min="413" max="413" width="17.5" bestFit="1" customWidth="1"/>
    <col min="414" max="414" width="21.83203125" bestFit="1" customWidth="1"/>
    <col min="415" max="415" width="24.5" bestFit="1" customWidth="1"/>
    <col min="416" max="416" width="14" bestFit="1" customWidth="1"/>
    <col min="417" max="417" width="16.6640625" bestFit="1" customWidth="1"/>
    <col min="418" max="418" width="27.5" bestFit="1" customWidth="1"/>
    <col min="419" max="419" width="30.1640625" bestFit="1" customWidth="1"/>
    <col min="420" max="420" width="27.5" bestFit="1" customWidth="1"/>
    <col min="421" max="421" width="30.1640625" bestFit="1" customWidth="1"/>
    <col min="422" max="422" width="25.5" bestFit="1" customWidth="1"/>
    <col min="423" max="423" width="28.1640625" bestFit="1" customWidth="1"/>
    <col min="424" max="424" width="21" bestFit="1" customWidth="1"/>
    <col min="425" max="425" width="23.6640625" bestFit="1" customWidth="1"/>
    <col min="426" max="426" width="22.5" bestFit="1" customWidth="1"/>
    <col min="427" max="427" width="25.1640625" bestFit="1" customWidth="1"/>
    <col min="428" max="428" width="21.6640625" bestFit="1" customWidth="1"/>
    <col min="429" max="429" width="24.33203125" bestFit="1" customWidth="1"/>
    <col min="430" max="430" width="22" bestFit="1" customWidth="1"/>
    <col min="431" max="431" width="24.6640625" bestFit="1" customWidth="1"/>
    <col min="432" max="432" width="29.1640625" bestFit="1" customWidth="1"/>
    <col min="433" max="433" width="31.83203125" bestFit="1" customWidth="1"/>
    <col min="434" max="434" width="28" bestFit="1" customWidth="1"/>
    <col min="435" max="435" width="30.6640625" bestFit="1" customWidth="1"/>
    <col min="436" max="436" width="20" bestFit="1" customWidth="1"/>
    <col min="437" max="437" width="22.6640625" bestFit="1" customWidth="1"/>
    <col min="438" max="438" width="30.5" bestFit="1" customWidth="1"/>
    <col min="439" max="439" width="33.1640625" bestFit="1" customWidth="1"/>
    <col min="440" max="440" width="16.5" bestFit="1" customWidth="1"/>
    <col min="441" max="441" width="19.1640625" bestFit="1" customWidth="1"/>
    <col min="442" max="442" width="15" bestFit="1" customWidth="1"/>
    <col min="443" max="443" width="17.6640625" bestFit="1" customWidth="1"/>
    <col min="444" max="444" width="17.1640625" bestFit="1" customWidth="1"/>
    <col min="445" max="445" width="19.83203125" bestFit="1" customWidth="1"/>
    <col min="446" max="446" width="37.83203125" bestFit="1" customWidth="1"/>
    <col min="447" max="447" width="40.5" bestFit="1" customWidth="1"/>
    <col min="448" max="448" width="19.5" bestFit="1" customWidth="1"/>
    <col min="449" max="449" width="22.1640625" bestFit="1" customWidth="1"/>
    <col min="450" max="450" width="30.1640625" bestFit="1" customWidth="1"/>
    <col min="451" max="451" width="32.83203125" bestFit="1" customWidth="1"/>
    <col min="452" max="452" width="25.5" bestFit="1" customWidth="1"/>
    <col min="453" max="453" width="28.1640625" bestFit="1" customWidth="1"/>
    <col min="454" max="454" width="25.5" bestFit="1" customWidth="1"/>
    <col min="455" max="455" width="28.1640625" bestFit="1" customWidth="1"/>
    <col min="456" max="456" width="25.5" bestFit="1" customWidth="1"/>
    <col min="457" max="457" width="28.1640625" bestFit="1" customWidth="1"/>
    <col min="458" max="458" width="25.5" bestFit="1" customWidth="1"/>
    <col min="459" max="459" width="28.1640625" bestFit="1" customWidth="1"/>
    <col min="460" max="460" width="25.5" bestFit="1" customWidth="1"/>
    <col min="461" max="461" width="28.1640625" bestFit="1" customWidth="1"/>
    <col min="462" max="462" width="27.6640625" bestFit="1" customWidth="1"/>
    <col min="463" max="463" width="30.33203125" bestFit="1" customWidth="1"/>
    <col min="464" max="464" width="27.6640625" bestFit="1" customWidth="1"/>
    <col min="465" max="465" width="30.33203125" bestFit="1" customWidth="1"/>
    <col min="466" max="466" width="27.6640625" bestFit="1" customWidth="1"/>
    <col min="467" max="467" width="30.33203125" bestFit="1" customWidth="1"/>
    <col min="468" max="468" width="27.6640625" bestFit="1" customWidth="1"/>
    <col min="469" max="469" width="30.33203125" bestFit="1" customWidth="1"/>
    <col min="470" max="470" width="27.5" bestFit="1" customWidth="1"/>
    <col min="471" max="471" width="30.1640625" bestFit="1" customWidth="1"/>
    <col min="472" max="472" width="27.6640625" bestFit="1" customWidth="1"/>
    <col min="473" max="473" width="30.33203125" bestFit="1" customWidth="1"/>
    <col min="474" max="474" width="27.6640625" bestFit="1" customWidth="1"/>
    <col min="475" max="475" width="30.33203125" bestFit="1" customWidth="1"/>
    <col min="476" max="476" width="23.33203125" bestFit="1" customWidth="1"/>
    <col min="477" max="477" width="25.83203125" bestFit="1" customWidth="1"/>
    <col min="478" max="478" width="20.1640625" bestFit="1" customWidth="1"/>
    <col min="479" max="479" width="22.83203125" bestFit="1" customWidth="1"/>
    <col min="480" max="480" width="21.33203125" bestFit="1" customWidth="1"/>
    <col min="481" max="481" width="24" bestFit="1" customWidth="1"/>
    <col min="482" max="482" width="22.83203125" bestFit="1" customWidth="1"/>
    <col min="483" max="483" width="25.5" bestFit="1" customWidth="1"/>
    <col min="484" max="484" width="18.1640625" bestFit="1" customWidth="1"/>
    <col min="485" max="485" width="20.6640625" bestFit="1" customWidth="1"/>
    <col min="486" max="486" width="19.83203125" bestFit="1" customWidth="1"/>
    <col min="487" max="487" width="22.5" bestFit="1" customWidth="1"/>
    <col min="488" max="488" width="21" bestFit="1" customWidth="1"/>
    <col min="489" max="489" width="23.6640625" bestFit="1" customWidth="1"/>
    <col min="490" max="491" width="20" bestFit="1" customWidth="1"/>
    <col min="492" max="492" width="22.6640625" bestFit="1" customWidth="1"/>
    <col min="493" max="494" width="18.33203125" bestFit="1" customWidth="1"/>
    <col min="495" max="495" width="20.83203125" bestFit="1" customWidth="1"/>
    <col min="496" max="496" width="21.83203125" bestFit="1" customWidth="1"/>
    <col min="497" max="497" width="24.5" bestFit="1" customWidth="1"/>
    <col min="498" max="498" width="15.1640625" bestFit="1" customWidth="1"/>
    <col min="499" max="499" width="17.83203125" bestFit="1" customWidth="1"/>
    <col min="500" max="500" width="17.6640625" bestFit="1" customWidth="1"/>
    <col min="501" max="501" width="20.33203125" bestFit="1" customWidth="1"/>
    <col min="502" max="502" width="18.5" bestFit="1" customWidth="1"/>
    <col min="503" max="503" width="21" bestFit="1" customWidth="1"/>
    <col min="504" max="504" width="19.83203125" bestFit="1" customWidth="1"/>
    <col min="505" max="505" width="22.5" bestFit="1" customWidth="1"/>
    <col min="506" max="506" width="17.6640625" bestFit="1" customWidth="1"/>
    <col min="507" max="507" width="20.33203125" bestFit="1" customWidth="1"/>
    <col min="508" max="508" width="19.1640625" bestFit="1" customWidth="1"/>
    <col min="509" max="509" width="21.83203125" bestFit="1" customWidth="1"/>
    <col min="510" max="510" width="25.33203125" bestFit="1" customWidth="1"/>
    <col min="511" max="511" width="28" bestFit="1" customWidth="1"/>
    <col min="512" max="512" width="14.6640625" bestFit="1" customWidth="1"/>
    <col min="513" max="513" width="17.33203125" bestFit="1" customWidth="1"/>
    <col min="514" max="514" width="37.33203125" bestFit="1" customWidth="1"/>
    <col min="515" max="515" width="40" bestFit="1" customWidth="1"/>
    <col min="516" max="516" width="16.33203125" bestFit="1" customWidth="1"/>
    <col min="517" max="517" width="19" bestFit="1" customWidth="1"/>
    <col min="518" max="518" width="17.5" bestFit="1" customWidth="1"/>
    <col min="519" max="519" width="20.1640625" bestFit="1" customWidth="1"/>
    <col min="520" max="520" width="25.5" bestFit="1" customWidth="1"/>
    <col min="521" max="521" width="28.1640625" bestFit="1" customWidth="1"/>
    <col min="522" max="522" width="27.33203125" bestFit="1" customWidth="1"/>
    <col min="523" max="523" width="30" bestFit="1" customWidth="1"/>
    <col min="524" max="524" width="27.33203125" bestFit="1" customWidth="1"/>
    <col min="525" max="525" width="30" bestFit="1" customWidth="1"/>
    <col min="526" max="526" width="18" bestFit="1" customWidth="1"/>
    <col min="527" max="527" width="20.5" bestFit="1" customWidth="1"/>
    <col min="528" max="528" width="28.6640625" bestFit="1" customWidth="1"/>
    <col min="529" max="529" width="31.1640625" bestFit="1" customWidth="1"/>
    <col min="530" max="530" width="21" bestFit="1" customWidth="1"/>
    <col min="531" max="531" width="23.6640625" bestFit="1" customWidth="1"/>
    <col min="532" max="532" width="21" bestFit="1" customWidth="1"/>
    <col min="533" max="533" width="23.6640625" bestFit="1" customWidth="1"/>
    <col min="534" max="534" width="21" bestFit="1" customWidth="1"/>
    <col min="535" max="535" width="23.6640625" bestFit="1" customWidth="1"/>
    <col min="536" max="536" width="28.33203125" bestFit="1" customWidth="1"/>
    <col min="537" max="537" width="30.83203125" bestFit="1" customWidth="1"/>
    <col min="538" max="538" width="21.83203125" bestFit="1" customWidth="1"/>
    <col min="539" max="539" width="24.5" bestFit="1" customWidth="1"/>
    <col min="540" max="540" width="18.33203125" bestFit="1" customWidth="1"/>
    <col min="541" max="541" width="20.83203125" bestFit="1" customWidth="1"/>
    <col min="542" max="542" width="20.5" bestFit="1" customWidth="1"/>
    <col min="543" max="543" width="23.1640625" bestFit="1" customWidth="1"/>
    <col min="544" max="544" width="17.33203125" bestFit="1" customWidth="1"/>
    <col min="545" max="545" width="20" bestFit="1" customWidth="1"/>
    <col min="546" max="546" width="17.33203125" bestFit="1" customWidth="1"/>
    <col min="547" max="547" width="20" bestFit="1" customWidth="1"/>
    <col min="548" max="548" width="27" bestFit="1" customWidth="1"/>
    <col min="549" max="549" width="29.6640625" bestFit="1" customWidth="1"/>
    <col min="550" max="550" width="15.5" bestFit="1" customWidth="1"/>
    <col min="551" max="551" width="18.1640625" bestFit="1" customWidth="1"/>
    <col min="552" max="552" width="26.1640625" bestFit="1" customWidth="1"/>
    <col min="553" max="553" width="28.83203125" bestFit="1" customWidth="1"/>
    <col min="554" max="554" width="17.1640625" bestFit="1" customWidth="1"/>
    <col min="555" max="555" width="19.83203125" bestFit="1" customWidth="1"/>
    <col min="556" max="556" width="17.5" bestFit="1" customWidth="1"/>
    <col min="557" max="557" width="20.1640625" bestFit="1" customWidth="1"/>
    <col min="558" max="558" width="16" bestFit="1" customWidth="1"/>
    <col min="559" max="559" width="18.6640625" bestFit="1" customWidth="1"/>
    <col min="560" max="560" width="21.83203125" bestFit="1" customWidth="1"/>
    <col min="561" max="561" width="24.5" bestFit="1" customWidth="1"/>
    <col min="562" max="562" width="22.5" bestFit="1" customWidth="1"/>
    <col min="563" max="563" width="25.1640625" bestFit="1" customWidth="1"/>
    <col min="564" max="564" width="23.5" bestFit="1" customWidth="1"/>
    <col min="565" max="565" width="26" bestFit="1" customWidth="1"/>
    <col min="566" max="566" width="22.1640625" bestFit="1" customWidth="1"/>
    <col min="567" max="567" width="24.83203125" bestFit="1" customWidth="1"/>
    <col min="568" max="568" width="18.6640625" bestFit="1" customWidth="1"/>
    <col min="569" max="569" width="21.1640625" bestFit="1" customWidth="1"/>
    <col min="570" max="570" width="19.6640625" bestFit="1" customWidth="1"/>
    <col min="571" max="571" width="22.33203125" bestFit="1" customWidth="1"/>
    <col min="572" max="572" width="22.1640625" bestFit="1" customWidth="1"/>
    <col min="573" max="573" width="24.83203125" bestFit="1" customWidth="1"/>
    <col min="574" max="574" width="31.5" bestFit="1" customWidth="1"/>
    <col min="575" max="575" width="34.1640625" bestFit="1" customWidth="1"/>
    <col min="576" max="576" width="17.33203125" bestFit="1" customWidth="1"/>
    <col min="577" max="577" width="20" bestFit="1" customWidth="1"/>
    <col min="578" max="578" width="12" bestFit="1" customWidth="1"/>
    <col min="579" max="579" width="14.5" bestFit="1" customWidth="1"/>
    <col min="580" max="580" width="16.33203125" bestFit="1" customWidth="1"/>
    <col min="581" max="581" width="19" bestFit="1" customWidth="1"/>
    <col min="582" max="582" width="37.1640625" bestFit="1" customWidth="1"/>
    <col min="583" max="583" width="39.83203125" bestFit="1" customWidth="1"/>
    <col min="584" max="584" width="22.83203125" bestFit="1" customWidth="1"/>
    <col min="585" max="585" width="25.5" bestFit="1" customWidth="1"/>
    <col min="586" max="586" width="17.5" bestFit="1" customWidth="1"/>
    <col min="587" max="587" width="20.1640625" bestFit="1" customWidth="1"/>
    <col min="588" max="588" width="18" bestFit="1" customWidth="1"/>
    <col min="589" max="589" width="20.5" bestFit="1" customWidth="1"/>
    <col min="590" max="590" width="16.1640625" bestFit="1" customWidth="1"/>
    <col min="591" max="591" width="18.83203125" bestFit="1" customWidth="1"/>
    <col min="592" max="592" width="16.6640625" bestFit="1" customWidth="1"/>
    <col min="593" max="593" width="19.33203125" bestFit="1" customWidth="1"/>
    <col min="594" max="594" width="15.6640625" bestFit="1" customWidth="1"/>
    <col min="595" max="595" width="18.33203125" bestFit="1" customWidth="1"/>
    <col min="596" max="596" width="20.6640625" bestFit="1" customWidth="1"/>
    <col min="597" max="597" width="23.33203125" bestFit="1" customWidth="1"/>
    <col min="598" max="598" width="19.6640625" bestFit="1" customWidth="1"/>
    <col min="599" max="599" width="22.33203125" bestFit="1" customWidth="1"/>
    <col min="600" max="601" width="18.33203125" bestFit="1" customWidth="1"/>
    <col min="602" max="602" width="20.83203125" bestFit="1" customWidth="1"/>
    <col min="603" max="603" width="33.1640625" bestFit="1" customWidth="1"/>
    <col min="604" max="604" width="35.83203125" bestFit="1" customWidth="1"/>
    <col min="605" max="605" width="13.33203125" bestFit="1" customWidth="1"/>
    <col min="606" max="606" width="15.83203125" bestFit="1" customWidth="1"/>
    <col min="607" max="607" width="12.6640625" bestFit="1" customWidth="1"/>
    <col min="608" max="608" width="15.1640625" bestFit="1" customWidth="1"/>
    <col min="609" max="609" width="32.33203125" bestFit="1" customWidth="1"/>
    <col min="610" max="610" width="35" bestFit="1" customWidth="1"/>
    <col min="611" max="611" width="13.83203125" bestFit="1" customWidth="1"/>
    <col min="612" max="612" width="16.5" bestFit="1" customWidth="1"/>
    <col min="613" max="613" width="13.6640625" bestFit="1" customWidth="1"/>
    <col min="614" max="614" width="16.33203125" bestFit="1" customWidth="1"/>
    <col min="615" max="615" width="20.5" bestFit="1" customWidth="1"/>
    <col min="616" max="616" width="23.1640625" bestFit="1" customWidth="1"/>
    <col min="617" max="617" width="17.1640625" bestFit="1" customWidth="1"/>
    <col min="618" max="618" width="19.83203125" bestFit="1" customWidth="1"/>
    <col min="619" max="619" width="20.33203125" bestFit="1" customWidth="1"/>
    <col min="620" max="620" width="23" bestFit="1" customWidth="1"/>
    <col min="621" max="621" width="23.83203125" bestFit="1" customWidth="1"/>
    <col min="622" max="622" width="26.33203125" bestFit="1" customWidth="1"/>
    <col min="623" max="623" width="21.83203125" bestFit="1" customWidth="1"/>
    <col min="624" max="624" width="24.5" bestFit="1" customWidth="1"/>
    <col min="625" max="625" width="26.6640625" bestFit="1" customWidth="1"/>
    <col min="626" max="626" width="29.33203125" bestFit="1" customWidth="1"/>
    <col min="627" max="627" width="18.33203125" bestFit="1" customWidth="1"/>
    <col min="628" max="628" width="20.83203125" bestFit="1" customWidth="1"/>
    <col min="629" max="629" width="16.83203125" bestFit="1" customWidth="1"/>
    <col min="630" max="630" width="19.5" bestFit="1" customWidth="1"/>
    <col min="631" max="631" width="15" bestFit="1" customWidth="1"/>
    <col min="632" max="632" width="17.6640625" bestFit="1" customWidth="1"/>
    <col min="633" max="633" width="21.6640625" bestFit="1" customWidth="1"/>
    <col min="634" max="634" width="24.33203125" bestFit="1" customWidth="1"/>
    <col min="635" max="635" width="21.33203125" bestFit="1" customWidth="1"/>
    <col min="636" max="636" width="24" bestFit="1" customWidth="1"/>
    <col min="637" max="637" width="18.6640625" bestFit="1" customWidth="1"/>
    <col min="638" max="638" width="21.1640625" bestFit="1" customWidth="1"/>
    <col min="639" max="639" width="20.83203125" bestFit="1" customWidth="1"/>
    <col min="640" max="640" width="23.5" bestFit="1" customWidth="1"/>
    <col min="641" max="641" width="16.1640625" bestFit="1" customWidth="1"/>
    <col min="642" max="642" width="18.83203125" bestFit="1" customWidth="1"/>
    <col min="643" max="643" width="20.33203125" bestFit="1" customWidth="1"/>
    <col min="644" max="644" width="23" bestFit="1" customWidth="1"/>
    <col min="645" max="645" width="24" bestFit="1" customWidth="1"/>
    <col min="646" max="646" width="26.6640625" bestFit="1" customWidth="1"/>
    <col min="647" max="647" width="18.5" bestFit="1" customWidth="1"/>
    <col min="648" max="648" width="21" bestFit="1" customWidth="1"/>
    <col min="649" max="649" width="21.33203125" bestFit="1" customWidth="1"/>
    <col min="650" max="650" width="24" bestFit="1" customWidth="1"/>
    <col min="651" max="651" width="19" bestFit="1" customWidth="1"/>
    <col min="652" max="652" width="21.6640625" bestFit="1" customWidth="1"/>
    <col min="653" max="653" width="12.33203125" bestFit="1" customWidth="1"/>
    <col min="654" max="654" width="14.83203125" bestFit="1" customWidth="1"/>
    <col min="655" max="655" width="18.6640625" bestFit="1" customWidth="1"/>
    <col min="656" max="656" width="21.1640625" bestFit="1" customWidth="1"/>
    <col min="657" max="657" width="19" bestFit="1" customWidth="1"/>
    <col min="658" max="658" width="21.6640625" bestFit="1" customWidth="1"/>
    <col min="659" max="659" width="22.33203125" bestFit="1" customWidth="1"/>
    <col min="660" max="660" width="25" bestFit="1" customWidth="1"/>
    <col min="661" max="661" width="14.83203125" bestFit="1" customWidth="1"/>
    <col min="662" max="662" width="17.5" bestFit="1" customWidth="1"/>
    <col min="663" max="663" width="17.6640625" bestFit="1" customWidth="1"/>
    <col min="664" max="664" width="20.33203125" bestFit="1" customWidth="1"/>
    <col min="665" max="665" width="25.5" bestFit="1" customWidth="1"/>
    <col min="666" max="666" width="28.1640625" bestFit="1" customWidth="1"/>
    <col min="667" max="667" width="29.1640625" bestFit="1" customWidth="1"/>
    <col min="668" max="668" width="31.83203125" bestFit="1" customWidth="1"/>
    <col min="669" max="669" width="28.83203125" bestFit="1" customWidth="1"/>
    <col min="670" max="670" width="31.33203125" bestFit="1" customWidth="1"/>
    <col min="671" max="671" width="20" bestFit="1" customWidth="1"/>
    <col min="672" max="672" width="22.6640625" bestFit="1" customWidth="1"/>
    <col min="673" max="673" width="25.83203125" bestFit="1" customWidth="1"/>
    <col min="674" max="674" width="28.5" bestFit="1" customWidth="1"/>
    <col min="675" max="675" width="17.6640625" bestFit="1" customWidth="1"/>
    <col min="676" max="676" width="20.33203125" bestFit="1" customWidth="1"/>
    <col min="677" max="677" width="22.1640625" bestFit="1" customWidth="1"/>
    <col min="678" max="678" width="24.83203125" bestFit="1" customWidth="1"/>
    <col min="679" max="679" width="24.5" bestFit="1" customWidth="1"/>
    <col min="680" max="680" width="27.1640625" bestFit="1" customWidth="1"/>
    <col min="681" max="681" width="23.5" bestFit="1" customWidth="1"/>
    <col min="682" max="682" width="26" bestFit="1" customWidth="1"/>
    <col min="683" max="683" width="15.1640625" bestFit="1" customWidth="1"/>
    <col min="684" max="684" width="17.83203125" bestFit="1" customWidth="1"/>
    <col min="685" max="685" width="22" bestFit="1" customWidth="1"/>
    <col min="686" max="686" width="24.6640625" bestFit="1" customWidth="1"/>
    <col min="687" max="687" width="20" bestFit="1" customWidth="1"/>
    <col min="688" max="688" width="22.6640625" bestFit="1" customWidth="1"/>
    <col min="689" max="689" width="17.5" bestFit="1" customWidth="1"/>
    <col min="690" max="690" width="20.1640625" bestFit="1" customWidth="1"/>
    <col min="691" max="691" width="15.83203125" bestFit="1" customWidth="1"/>
    <col min="692" max="692" width="18.5" bestFit="1" customWidth="1"/>
    <col min="693" max="693" width="12.5" bestFit="1" customWidth="1"/>
    <col min="694" max="695" width="15" bestFit="1" customWidth="1"/>
    <col min="696" max="696" width="17.6640625" bestFit="1" customWidth="1"/>
    <col min="697" max="697" width="18" bestFit="1" customWidth="1"/>
    <col min="698" max="698" width="20.5" bestFit="1" customWidth="1"/>
    <col min="699" max="699" width="22.6640625" bestFit="1" customWidth="1"/>
    <col min="700" max="700" width="25.33203125" bestFit="1" customWidth="1"/>
    <col min="701" max="701" width="21.5" bestFit="1" customWidth="1"/>
    <col min="702" max="702" width="24.1640625" bestFit="1" customWidth="1"/>
    <col min="703" max="703" width="22.1640625" bestFit="1" customWidth="1"/>
    <col min="704" max="704" width="24.83203125" bestFit="1" customWidth="1"/>
    <col min="705" max="705" width="25.83203125" bestFit="1" customWidth="1"/>
    <col min="706" max="706" width="28.5" bestFit="1" customWidth="1"/>
    <col min="707" max="707" width="18.33203125" bestFit="1" customWidth="1"/>
    <col min="708" max="708" width="20.83203125" bestFit="1" customWidth="1"/>
    <col min="709" max="709" width="19.6640625" bestFit="1" customWidth="1"/>
    <col min="710" max="710" width="22.33203125" bestFit="1" customWidth="1"/>
    <col min="711" max="711" width="30.33203125" bestFit="1" customWidth="1"/>
    <col min="712" max="712" width="33" bestFit="1" customWidth="1"/>
    <col min="713" max="713" width="23.83203125" bestFit="1" customWidth="1"/>
    <col min="714" max="714" width="26.33203125" bestFit="1" customWidth="1"/>
    <col min="715" max="715" width="22.5" bestFit="1" customWidth="1"/>
    <col min="716" max="716" width="25.1640625" bestFit="1" customWidth="1"/>
    <col min="717" max="717" width="24.83203125" bestFit="1" customWidth="1"/>
    <col min="718" max="718" width="27.5" bestFit="1" customWidth="1"/>
    <col min="719" max="719" width="21.5" bestFit="1" customWidth="1"/>
    <col min="720" max="720" width="24.1640625" bestFit="1" customWidth="1"/>
    <col min="721" max="721" width="16.5" bestFit="1" customWidth="1"/>
    <col min="722" max="722" width="19.1640625" bestFit="1" customWidth="1"/>
    <col min="723" max="723" width="19.5" bestFit="1" customWidth="1"/>
    <col min="724" max="724" width="22.1640625" bestFit="1" customWidth="1"/>
    <col min="725" max="725" width="22.33203125" bestFit="1" customWidth="1"/>
    <col min="726" max="726" width="25" bestFit="1" customWidth="1"/>
    <col min="727" max="727" width="20.83203125" bestFit="1" customWidth="1"/>
    <col min="728" max="728" width="23.5" bestFit="1" customWidth="1"/>
    <col min="729" max="729" width="15.6640625" bestFit="1" customWidth="1"/>
    <col min="730" max="730" width="18.33203125" bestFit="1" customWidth="1"/>
    <col min="731" max="731" width="17.33203125" bestFit="1" customWidth="1"/>
    <col min="732" max="732" width="20" bestFit="1" customWidth="1"/>
    <col min="733" max="733" width="21.6640625" bestFit="1" customWidth="1"/>
    <col min="734" max="734" width="24.33203125" bestFit="1" customWidth="1"/>
    <col min="735" max="735" width="16.5" bestFit="1" customWidth="1"/>
    <col min="736" max="736" width="19.1640625" bestFit="1" customWidth="1"/>
    <col min="737" max="737" width="21.5" bestFit="1" customWidth="1"/>
    <col min="738" max="738" width="24.1640625" bestFit="1" customWidth="1"/>
    <col min="739" max="739" width="12.33203125" bestFit="1" customWidth="1"/>
    <col min="740" max="740" width="14.83203125" bestFit="1" customWidth="1"/>
    <col min="741" max="742" width="24.83203125" bestFit="1" customWidth="1"/>
    <col min="743" max="743" width="27.5" bestFit="1" customWidth="1"/>
    <col min="744" max="744" width="20.1640625" bestFit="1" customWidth="1"/>
    <col min="745" max="745" width="22.83203125" bestFit="1" customWidth="1"/>
    <col min="746" max="746" width="19.83203125" bestFit="1" customWidth="1"/>
    <col min="747" max="747" width="22.5" bestFit="1" customWidth="1"/>
    <col min="748" max="748" width="19.83203125" bestFit="1" customWidth="1"/>
    <col min="749" max="749" width="22.5" bestFit="1" customWidth="1"/>
    <col min="750" max="750" width="22" bestFit="1" customWidth="1"/>
    <col min="751" max="751" width="24.6640625" bestFit="1" customWidth="1"/>
    <col min="752" max="752" width="22.33203125" bestFit="1" customWidth="1"/>
    <col min="753" max="753" width="25" bestFit="1" customWidth="1"/>
    <col min="754" max="754" width="20.5" bestFit="1" customWidth="1"/>
    <col min="755" max="755" width="23.1640625" bestFit="1" customWidth="1"/>
    <col min="756" max="756" width="18.6640625" bestFit="1" customWidth="1"/>
    <col min="757" max="757" width="21.1640625" bestFit="1" customWidth="1"/>
    <col min="758" max="758" width="14" bestFit="1" customWidth="1"/>
    <col min="759" max="759" width="16.6640625" bestFit="1" customWidth="1"/>
    <col min="760" max="760" width="21.1640625" bestFit="1" customWidth="1"/>
    <col min="761" max="761" width="23.83203125" bestFit="1" customWidth="1"/>
    <col min="762" max="762" width="15.5" bestFit="1" customWidth="1"/>
    <col min="763" max="763" width="18.1640625" bestFit="1" customWidth="1"/>
    <col min="764" max="764" width="25.6640625" bestFit="1" customWidth="1"/>
    <col min="765" max="765" width="28.33203125" bestFit="1" customWidth="1"/>
    <col min="766" max="766" width="15.83203125" bestFit="1" customWidth="1"/>
    <col min="767" max="767" width="18.5" bestFit="1" customWidth="1"/>
    <col min="768" max="768" width="23.83203125" bestFit="1" customWidth="1"/>
    <col min="769" max="769" width="26.33203125" bestFit="1" customWidth="1"/>
    <col min="770" max="770" width="15.1640625" bestFit="1" customWidth="1"/>
    <col min="771" max="771" width="17.83203125" bestFit="1" customWidth="1"/>
    <col min="772" max="772" width="17.33203125" bestFit="1" customWidth="1"/>
    <col min="773" max="773" width="20" bestFit="1" customWidth="1"/>
    <col min="774" max="774" width="18.33203125" bestFit="1" customWidth="1"/>
    <col min="775" max="775" width="20.83203125" bestFit="1" customWidth="1"/>
    <col min="776" max="776" width="14.5" bestFit="1" customWidth="1"/>
    <col min="777" max="777" width="17.1640625" bestFit="1" customWidth="1"/>
    <col min="778" max="778" width="17.6640625" bestFit="1" customWidth="1"/>
    <col min="779" max="779" width="20.33203125" bestFit="1" customWidth="1"/>
    <col min="780" max="780" width="16.5" bestFit="1" customWidth="1"/>
    <col min="781" max="781" width="19.1640625" bestFit="1" customWidth="1"/>
    <col min="782" max="782" width="27.6640625" bestFit="1" customWidth="1"/>
    <col min="783" max="783" width="30.33203125" bestFit="1" customWidth="1"/>
    <col min="784" max="784" width="27.5" bestFit="1" customWidth="1"/>
    <col min="785" max="785" width="30.1640625" bestFit="1" customWidth="1"/>
    <col min="786" max="787" width="27.5" bestFit="1" customWidth="1"/>
    <col min="788" max="788" width="30.1640625" bestFit="1" customWidth="1"/>
    <col min="789" max="789" width="21" bestFit="1" customWidth="1"/>
    <col min="790" max="790" width="23.6640625" bestFit="1" customWidth="1"/>
    <col min="791" max="791" width="20.1640625" bestFit="1" customWidth="1"/>
    <col min="792" max="792" width="22.83203125" bestFit="1" customWidth="1"/>
    <col min="793" max="793" width="17.33203125" bestFit="1" customWidth="1"/>
    <col min="794" max="794" width="20" bestFit="1" customWidth="1"/>
    <col min="795" max="795" width="11.5" bestFit="1" customWidth="1"/>
    <col min="796" max="796" width="14" bestFit="1" customWidth="1"/>
    <col min="797" max="797" width="13.5" bestFit="1" customWidth="1"/>
    <col min="798" max="798" width="16" bestFit="1" customWidth="1"/>
    <col min="799" max="799" width="29.1640625" bestFit="1" customWidth="1"/>
    <col min="800" max="800" width="31.83203125" bestFit="1" customWidth="1"/>
    <col min="801" max="801" width="14.83203125" bestFit="1" customWidth="1"/>
    <col min="802" max="802" width="17.5" bestFit="1" customWidth="1"/>
    <col min="803" max="803" width="26.33203125" bestFit="1" customWidth="1"/>
    <col min="804" max="804" width="29" bestFit="1" customWidth="1"/>
    <col min="805" max="805" width="20.6640625" bestFit="1" customWidth="1"/>
    <col min="806" max="806" width="23.33203125" bestFit="1" customWidth="1"/>
    <col min="807" max="807" width="16.33203125" bestFit="1" customWidth="1"/>
    <col min="808" max="808" width="19" bestFit="1" customWidth="1"/>
    <col min="809" max="809" width="17" bestFit="1" customWidth="1"/>
    <col min="810" max="810" width="19.6640625" bestFit="1" customWidth="1"/>
    <col min="811" max="811" width="19.5" bestFit="1" customWidth="1"/>
    <col min="812" max="812" width="22.1640625" bestFit="1" customWidth="1"/>
    <col min="813" max="813" width="24.5" bestFit="1" customWidth="1"/>
    <col min="814" max="814" width="27.1640625" bestFit="1" customWidth="1"/>
    <col min="815" max="815" width="29.5" bestFit="1" customWidth="1"/>
    <col min="816" max="816" width="32.1640625" bestFit="1" customWidth="1"/>
    <col min="817" max="817" width="18.83203125" bestFit="1" customWidth="1"/>
    <col min="818" max="818" width="21.5" bestFit="1" customWidth="1"/>
    <col min="819" max="819" width="20.83203125" bestFit="1" customWidth="1"/>
    <col min="820" max="820" width="23.5" bestFit="1" customWidth="1"/>
    <col min="821" max="821" width="21.33203125" bestFit="1" customWidth="1"/>
    <col min="822" max="822" width="24" bestFit="1" customWidth="1"/>
    <col min="823" max="823" width="20.1640625" bestFit="1" customWidth="1"/>
    <col min="824" max="824" width="22.83203125" bestFit="1" customWidth="1"/>
    <col min="825" max="825" width="20.1640625" bestFit="1" customWidth="1"/>
    <col min="826" max="826" width="22.83203125" bestFit="1" customWidth="1"/>
    <col min="827" max="828" width="21.6640625" bestFit="1" customWidth="1"/>
    <col min="829" max="829" width="24.33203125" bestFit="1" customWidth="1"/>
    <col min="830" max="830" width="20.1640625" bestFit="1" customWidth="1"/>
    <col min="831" max="831" width="22.83203125" bestFit="1" customWidth="1"/>
    <col min="832" max="832" width="17" bestFit="1" customWidth="1"/>
    <col min="833" max="833" width="19.6640625" bestFit="1" customWidth="1"/>
    <col min="834" max="834" width="22.83203125" bestFit="1" customWidth="1"/>
    <col min="835" max="835" width="25.5" bestFit="1" customWidth="1"/>
    <col min="836" max="836" width="29" bestFit="1" customWidth="1"/>
    <col min="837" max="837" width="31.5" bestFit="1" customWidth="1"/>
    <col min="838" max="838" width="17.33203125" bestFit="1" customWidth="1"/>
    <col min="839" max="839" width="20" bestFit="1" customWidth="1"/>
    <col min="840" max="840" width="23.6640625" bestFit="1" customWidth="1"/>
    <col min="841" max="841" width="26.1640625" bestFit="1" customWidth="1"/>
    <col min="842" max="842" width="23.6640625" bestFit="1" customWidth="1"/>
    <col min="843" max="843" width="26.1640625" bestFit="1" customWidth="1"/>
    <col min="844" max="844" width="21" bestFit="1" customWidth="1"/>
    <col min="845" max="845" width="23.6640625" bestFit="1" customWidth="1"/>
    <col min="846" max="846" width="14.5" bestFit="1" customWidth="1"/>
    <col min="847" max="847" width="17.1640625" bestFit="1" customWidth="1"/>
    <col min="848" max="848" width="23.83203125" bestFit="1" customWidth="1"/>
    <col min="849" max="849" width="26.33203125" bestFit="1" customWidth="1"/>
    <col min="850" max="850" width="26.5" bestFit="1" customWidth="1"/>
    <col min="851" max="851" width="29.1640625" bestFit="1" customWidth="1"/>
    <col min="852" max="852" width="17.1640625" bestFit="1" customWidth="1"/>
    <col min="853" max="853" width="19.83203125" bestFit="1" customWidth="1"/>
    <col min="854" max="854" width="14.1640625" bestFit="1" customWidth="1"/>
    <col min="855" max="855" width="16.83203125" bestFit="1" customWidth="1"/>
    <col min="856" max="856" width="15.1640625" bestFit="1" customWidth="1"/>
    <col min="857" max="857" width="17.83203125" bestFit="1" customWidth="1"/>
    <col min="858" max="858" width="12.1640625" bestFit="1" customWidth="1"/>
    <col min="859" max="859" width="14.6640625" bestFit="1" customWidth="1"/>
    <col min="860" max="860" width="16.33203125" bestFit="1" customWidth="1"/>
    <col min="861" max="861" width="19" bestFit="1" customWidth="1"/>
    <col min="862" max="862" width="26" bestFit="1" customWidth="1"/>
    <col min="863" max="863" width="28.6640625" bestFit="1" customWidth="1"/>
    <col min="864" max="864" width="26.1640625" bestFit="1" customWidth="1"/>
    <col min="865" max="865" width="28.83203125" bestFit="1" customWidth="1"/>
    <col min="866" max="866" width="32.83203125" bestFit="1" customWidth="1"/>
    <col min="867" max="867" width="35.5" bestFit="1" customWidth="1"/>
    <col min="868" max="868" width="14.33203125" bestFit="1" customWidth="1"/>
    <col min="869" max="869" width="17" bestFit="1" customWidth="1"/>
    <col min="870" max="870" width="15.5" bestFit="1" customWidth="1"/>
    <col min="871" max="871" width="18.1640625" bestFit="1" customWidth="1"/>
    <col min="872" max="872" width="29.83203125" bestFit="1" customWidth="1"/>
    <col min="873" max="873" width="32.5" bestFit="1" customWidth="1"/>
    <col min="874" max="874" width="13.33203125" bestFit="1" customWidth="1"/>
    <col min="875" max="875" width="15.83203125" bestFit="1" customWidth="1"/>
    <col min="876" max="876" width="30.5" bestFit="1" customWidth="1"/>
    <col min="877" max="877" width="33.1640625" bestFit="1" customWidth="1"/>
    <col min="878" max="878" width="26.33203125" bestFit="1" customWidth="1"/>
    <col min="879" max="879" width="29" bestFit="1" customWidth="1"/>
    <col min="880" max="880" width="19.5" bestFit="1" customWidth="1"/>
    <col min="881" max="881" width="22.1640625" bestFit="1" customWidth="1"/>
    <col min="882" max="882" width="19" bestFit="1" customWidth="1"/>
    <col min="883" max="883" width="21.6640625" bestFit="1" customWidth="1"/>
    <col min="884" max="884" width="14.1640625" bestFit="1" customWidth="1"/>
    <col min="885" max="885" width="16.83203125" bestFit="1" customWidth="1"/>
    <col min="886" max="886" width="18.83203125" bestFit="1" customWidth="1"/>
    <col min="887" max="887" width="21.5" bestFit="1" customWidth="1"/>
    <col min="888" max="888" width="20.83203125" bestFit="1" customWidth="1"/>
    <col min="889" max="889" width="23.5" bestFit="1" customWidth="1"/>
    <col min="890" max="890" width="19.33203125" bestFit="1" customWidth="1"/>
    <col min="891" max="891" width="22" bestFit="1" customWidth="1"/>
    <col min="892" max="892" width="12.83203125" bestFit="1" customWidth="1"/>
    <col min="893" max="893" width="15.33203125" bestFit="1" customWidth="1"/>
    <col min="894" max="894" width="17.1640625" bestFit="1" customWidth="1"/>
    <col min="895" max="895" width="19.83203125" bestFit="1" customWidth="1"/>
    <col min="896" max="896" width="17.5" bestFit="1" customWidth="1"/>
    <col min="897" max="897" width="20.1640625" bestFit="1" customWidth="1"/>
    <col min="898" max="898" width="28.6640625" bestFit="1" customWidth="1"/>
    <col min="899" max="899" width="31.1640625" bestFit="1" customWidth="1"/>
    <col min="900" max="902" width="9.83203125" bestFit="1" customWidth="1"/>
    <col min="903" max="903" width="10.5" bestFit="1" customWidth="1"/>
    <col min="904" max="904" width="10" bestFit="1" customWidth="1"/>
  </cols>
  <sheetData>
    <row r="3" spans="1:5" x14ac:dyDescent="0.2">
      <c r="A3" s="1" t="s">
        <v>2046</v>
      </c>
      <c r="B3" s="1" t="s">
        <v>2045</v>
      </c>
    </row>
    <row r="4" spans="1:5" x14ac:dyDescent="0.2">
      <c r="A4" s="1" t="s">
        <v>2042</v>
      </c>
      <c r="B4" t="s">
        <v>2038</v>
      </c>
      <c r="C4" t="s">
        <v>2037</v>
      </c>
      <c r="D4" t="s">
        <v>2043</v>
      </c>
      <c r="E4" t="s">
        <v>2044</v>
      </c>
    </row>
    <row r="5" spans="1:5" x14ac:dyDescent="0.2">
      <c r="A5" s="2" t="s">
        <v>515</v>
      </c>
      <c r="C5">
        <v>3</v>
      </c>
      <c r="E5">
        <v>3</v>
      </c>
    </row>
    <row r="6" spans="1:5" x14ac:dyDescent="0.2">
      <c r="A6" s="2" t="s">
        <v>125</v>
      </c>
      <c r="B6">
        <v>3</v>
      </c>
      <c r="E6">
        <v>3</v>
      </c>
    </row>
    <row r="7" spans="1:5" x14ac:dyDescent="0.2">
      <c r="A7" s="2" t="s">
        <v>659</v>
      </c>
      <c r="B7">
        <v>4</v>
      </c>
      <c r="E7">
        <v>4</v>
      </c>
    </row>
    <row r="8" spans="1:5" x14ac:dyDescent="0.2">
      <c r="A8" s="2" t="s">
        <v>1065</v>
      </c>
      <c r="B8">
        <v>1</v>
      </c>
      <c r="E8">
        <v>1</v>
      </c>
    </row>
    <row r="9" spans="1:5" x14ac:dyDescent="0.2">
      <c r="A9" s="2" t="s">
        <v>568</v>
      </c>
      <c r="B9">
        <v>3</v>
      </c>
      <c r="E9">
        <v>3</v>
      </c>
    </row>
    <row r="10" spans="1:5" x14ac:dyDescent="0.2">
      <c r="A10" s="2" t="s">
        <v>782</v>
      </c>
      <c r="B10">
        <v>1</v>
      </c>
      <c r="E10">
        <v>1</v>
      </c>
    </row>
    <row r="11" spans="1:5" x14ac:dyDescent="0.2">
      <c r="A11" s="2" t="s">
        <v>1145</v>
      </c>
      <c r="B11">
        <v>2</v>
      </c>
      <c r="E11">
        <v>2</v>
      </c>
    </row>
    <row r="12" spans="1:5" x14ac:dyDescent="0.2">
      <c r="A12" s="2" t="s">
        <v>248</v>
      </c>
      <c r="B12">
        <v>1</v>
      </c>
      <c r="E12">
        <v>1</v>
      </c>
    </row>
    <row r="13" spans="1:5" x14ac:dyDescent="0.2">
      <c r="A13" s="2" t="s">
        <v>512</v>
      </c>
      <c r="B13">
        <v>2</v>
      </c>
      <c r="E13">
        <v>2</v>
      </c>
    </row>
    <row r="14" spans="1:5" x14ac:dyDescent="0.2">
      <c r="A14" s="2" t="s">
        <v>902</v>
      </c>
      <c r="B14">
        <v>1</v>
      </c>
      <c r="E14">
        <v>1</v>
      </c>
    </row>
    <row r="15" spans="1:5" x14ac:dyDescent="0.2">
      <c r="A15" s="2" t="s">
        <v>1177</v>
      </c>
      <c r="B15">
        <v>1</v>
      </c>
      <c r="E15">
        <v>1</v>
      </c>
    </row>
    <row r="16" spans="1:5" x14ac:dyDescent="0.2">
      <c r="A16" s="2" t="s">
        <v>1605</v>
      </c>
      <c r="C16">
        <v>1</v>
      </c>
      <c r="E16">
        <v>1</v>
      </c>
    </row>
    <row r="17" spans="1:5" x14ac:dyDescent="0.2">
      <c r="A17" s="2" t="s">
        <v>605</v>
      </c>
      <c r="B17">
        <v>1</v>
      </c>
      <c r="E17">
        <v>1</v>
      </c>
    </row>
    <row r="18" spans="1:5" x14ac:dyDescent="0.2">
      <c r="A18" s="2" t="s">
        <v>56</v>
      </c>
      <c r="B18">
        <v>2</v>
      </c>
      <c r="E18">
        <v>2</v>
      </c>
    </row>
    <row r="19" spans="1:5" x14ac:dyDescent="0.2">
      <c r="A19" s="2" t="s">
        <v>1998</v>
      </c>
      <c r="B19">
        <v>1</v>
      </c>
      <c r="E19">
        <v>1</v>
      </c>
    </row>
    <row r="20" spans="1:5" x14ac:dyDescent="0.2">
      <c r="A20" s="2" t="s">
        <v>223</v>
      </c>
      <c r="B20">
        <v>3</v>
      </c>
      <c r="E20">
        <v>3</v>
      </c>
    </row>
    <row r="21" spans="1:5" x14ac:dyDescent="0.2">
      <c r="A21" s="2" t="s">
        <v>1867</v>
      </c>
      <c r="C21">
        <v>1</v>
      </c>
      <c r="E21">
        <v>1</v>
      </c>
    </row>
    <row r="22" spans="1:5" x14ac:dyDescent="0.2">
      <c r="A22" s="2" t="s">
        <v>1986</v>
      </c>
      <c r="B22">
        <v>1</v>
      </c>
      <c r="E22">
        <v>1</v>
      </c>
    </row>
    <row r="23" spans="1:5" x14ac:dyDescent="0.2">
      <c r="A23" s="2" t="s">
        <v>218</v>
      </c>
      <c r="B23">
        <v>1</v>
      </c>
      <c r="E23">
        <v>1</v>
      </c>
    </row>
    <row r="24" spans="1:5" x14ac:dyDescent="0.2">
      <c r="A24" s="2" t="s">
        <v>611</v>
      </c>
      <c r="B24">
        <v>1</v>
      </c>
      <c r="E24">
        <v>1</v>
      </c>
    </row>
    <row r="25" spans="1:5" x14ac:dyDescent="0.2">
      <c r="A25" s="2" t="s">
        <v>1102</v>
      </c>
      <c r="B25">
        <v>3</v>
      </c>
      <c r="E25">
        <v>3</v>
      </c>
    </row>
    <row r="26" spans="1:5" x14ac:dyDescent="0.2">
      <c r="A26" s="2" t="s">
        <v>1906</v>
      </c>
      <c r="B26">
        <v>1</v>
      </c>
      <c r="E26">
        <v>1</v>
      </c>
    </row>
    <row r="27" spans="1:5" x14ac:dyDescent="0.2">
      <c r="A27" s="2" t="s">
        <v>896</v>
      </c>
      <c r="B27">
        <v>1</v>
      </c>
      <c r="E27">
        <v>1</v>
      </c>
    </row>
    <row r="28" spans="1:5" x14ac:dyDescent="0.2">
      <c r="A28" s="2" t="s">
        <v>347</v>
      </c>
      <c r="B28">
        <v>4</v>
      </c>
      <c r="E28">
        <v>4</v>
      </c>
    </row>
    <row r="29" spans="1:5" x14ac:dyDescent="0.2">
      <c r="A29" s="2" t="s">
        <v>308</v>
      </c>
      <c r="B29">
        <v>3</v>
      </c>
      <c r="E29">
        <v>3</v>
      </c>
    </row>
    <row r="30" spans="1:5" x14ac:dyDescent="0.2">
      <c r="A30" s="2" t="s">
        <v>1545</v>
      </c>
      <c r="B30">
        <v>2</v>
      </c>
      <c r="E30">
        <v>2</v>
      </c>
    </row>
    <row r="31" spans="1:5" x14ac:dyDescent="0.2">
      <c r="A31" s="2" t="s">
        <v>1396</v>
      </c>
      <c r="B31">
        <v>1</v>
      </c>
      <c r="E31">
        <v>1</v>
      </c>
    </row>
    <row r="32" spans="1:5" x14ac:dyDescent="0.2">
      <c r="A32" s="2" t="s">
        <v>641</v>
      </c>
      <c r="B32">
        <v>2</v>
      </c>
      <c r="E32">
        <v>2</v>
      </c>
    </row>
    <row r="33" spans="1:5" x14ac:dyDescent="0.2">
      <c r="A33" s="2" t="s">
        <v>661</v>
      </c>
      <c r="B33">
        <v>1</v>
      </c>
      <c r="E33">
        <v>1</v>
      </c>
    </row>
    <row r="34" spans="1:5" x14ac:dyDescent="0.2">
      <c r="A34" s="2" t="s">
        <v>1050</v>
      </c>
      <c r="B34">
        <v>1</v>
      </c>
      <c r="E34">
        <v>1</v>
      </c>
    </row>
    <row r="35" spans="1:5" x14ac:dyDescent="0.2">
      <c r="A35" s="2" t="s">
        <v>373</v>
      </c>
      <c r="B35">
        <v>1</v>
      </c>
      <c r="E35">
        <v>1</v>
      </c>
    </row>
    <row r="36" spans="1:5" x14ac:dyDescent="0.2">
      <c r="A36" s="2" t="s">
        <v>942</v>
      </c>
      <c r="B36">
        <v>1</v>
      </c>
      <c r="E36">
        <v>1</v>
      </c>
    </row>
    <row r="37" spans="1:5" x14ac:dyDescent="0.2">
      <c r="A37" s="2" t="s">
        <v>615</v>
      </c>
      <c r="B37">
        <v>3</v>
      </c>
      <c r="E37">
        <v>3</v>
      </c>
    </row>
    <row r="38" spans="1:5" x14ac:dyDescent="0.2">
      <c r="A38" s="2" t="s">
        <v>1802</v>
      </c>
    </row>
    <row r="39" spans="1:5" x14ac:dyDescent="0.2">
      <c r="A39" s="2" t="s">
        <v>270</v>
      </c>
      <c r="B39">
        <v>1</v>
      </c>
      <c r="E39">
        <v>1</v>
      </c>
    </row>
    <row r="40" spans="1:5" x14ac:dyDescent="0.2">
      <c r="A40" s="2" t="s">
        <v>1923</v>
      </c>
      <c r="B40">
        <v>1</v>
      </c>
      <c r="E40">
        <v>1</v>
      </c>
    </row>
    <row r="41" spans="1:5" x14ac:dyDescent="0.2">
      <c r="A41" s="2" t="s">
        <v>1485</v>
      </c>
      <c r="B41">
        <v>1</v>
      </c>
      <c r="E41">
        <v>1</v>
      </c>
    </row>
    <row r="42" spans="1:5" x14ac:dyDescent="0.2">
      <c r="A42" s="2" t="s">
        <v>708</v>
      </c>
      <c r="B42">
        <v>1</v>
      </c>
      <c r="E42">
        <v>1</v>
      </c>
    </row>
    <row r="43" spans="1:5" x14ac:dyDescent="0.2">
      <c r="A43" s="2" t="s">
        <v>1846</v>
      </c>
      <c r="B43">
        <v>2</v>
      </c>
      <c r="E43">
        <v>2</v>
      </c>
    </row>
    <row r="44" spans="1:5" x14ac:dyDescent="0.2">
      <c r="A44" s="2" t="s">
        <v>1643</v>
      </c>
      <c r="B44">
        <v>1</v>
      </c>
      <c r="E44">
        <v>1</v>
      </c>
    </row>
    <row r="45" spans="1:5" x14ac:dyDescent="0.2">
      <c r="A45" s="2" t="s">
        <v>1521</v>
      </c>
      <c r="B45">
        <v>1</v>
      </c>
      <c r="E45">
        <v>1</v>
      </c>
    </row>
    <row r="46" spans="1:5" x14ac:dyDescent="0.2">
      <c r="A46" s="2" t="s">
        <v>301</v>
      </c>
      <c r="B46">
        <v>1</v>
      </c>
      <c r="E46">
        <v>1</v>
      </c>
    </row>
    <row r="47" spans="1:5" x14ac:dyDescent="0.2">
      <c r="A47" s="2" t="s">
        <v>1328</v>
      </c>
      <c r="B47">
        <v>1</v>
      </c>
      <c r="E47">
        <v>1</v>
      </c>
    </row>
    <row r="48" spans="1:5" x14ac:dyDescent="0.2">
      <c r="A48" s="2" t="s">
        <v>1768</v>
      </c>
      <c r="B48">
        <v>1</v>
      </c>
      <c r="E48">
        <v>1</v>
      </c>
    </row>
    <row r="49" spans="1:5" x14ac:dyDescent="0.2">
      <c r="A49" s="2" t="s">
        <v>1053</v>
      </c>
      <c r="B49">
        <v>3</v>
      </c>
      <c r="E49">
        <v>3</v>
      </c>
    </row>
    <row r="50" spans="1:5" x14ac:dyDescent="0.2">
      <c r="A50" s="2" t="s">
        <v>273</v>
      </c>
      <c r="B50">
        <v>1</v>
      </c>
      <c r="E50">
        <v>1</v>
      </c>
    </row>
    <row r="51" spans="1:5" x14ac:dyDescent="0.2">
      <c r="A51" s="2" t="s">
        <v>1192</v>
      </c>
      <c r="B51">
        <v>3</v>
      </c>
      <c r="E51">
        <v>3</v>
      </c>
    </row>
    <row r="52" spans="1:5" x14ac:dyDescent="0.2">
      <c r="A52" s="2" t="s">
        <v>677</v>
      </c>
      <c r="B52">
        <v>2</v>
      </c>
      <c r="E52">
        <v>2</v>
      </c>
    </row>
    <row r="53" spans="1:5" x14ac:dyDescent="0.2">
      <c r="A53" s="2" t="s">
        <v>356</v>
      </c>
      <c r="B53">
        <v>3</v>
      </c>
      <c r="E53">
        <v>3</v>
      </c>
    </row>
    <row r="54" spans="1:5" x14ac:dyDescent="0.2">
      <c r="A54" s="2" t="s">
        <v>416</v>
      </c>
      <c r="B54">
        <v>1</v>
      </c>
      <c r="E54">
        <v>1</v>
      </c>
    </row>
    <row r="55" spans="1:5" x14ac:dyDescent="0.2">
      <c r="A55" s="2" t="s">
        <v>1665</v>
      </c>
      <c r="B55">
        <v>1</v>
      </c>
      <c r="E55">
        <v>1</v>
      </c>
    </row>
    <row r="56" spans="1:5" x14ac:dyDescent="0.2">
      <c r="A56" s="2" t="s">
        <v>1807</v>
      </c>
      <c r="B56">
        <v>1</v>
      </c>
      <c r="E56">
        <v>1</v>
      </c>
    </row>
    <row r="57" spans="1:5" x14ac:dyDescent="0.2">
      <c r="A57" s="2" t="s">
        <v>146</v>
      </c>
      <c r="B57">
        <v>1</v>
      </c>
      <c r="E57">
        <v>1</v>
      </c>
    </row>
    <row r="58" spans="1:5" x14ac:dyDescent="0.2">
      <c r="A58" s="2" t="s">
        <v>1029</v>
      </c>
      <c r="B58">
        <v>1</v>
      </c>
      <c r="E58">
        <v>1</v>
      </c>
    </row>
    <row r="59" spans="1:5" x14ac:dyDescent="0.2">
      <c r="A59" s="2" t="s">
        <v>338</v>
      </c>
      <c r="B59">
        <v>5</v>
      </c>
      <c r="E59">
        <v>5</v>
      </c>
    </row>
    <row r="60" spans="1:5" x14ac:dyDescent="0.2">
      <c r="A60" s="2" t="s">
        <v>596</v>
      </c>
      <c r="B60">
        <v>1</v>
      </c>
      <c r="E60">
        <v>1</v>
      </c>
    </row>
    <row r="61" spans="1:5" x14ac:dyDescent="0.2">
      <c r="A61" s="2" t="s">
        <v>686</v>
      </c>
      <c r="B61">
        <v>1</v>
      </c>
      <c r="E61">
        <v>1</v>
      </c>
    </row>
    <row r="62" spans="1:5" x14ac:dyDescent="0.2">
      <c r="A62" s="2" t="s">
        <v>646</v>
      </c>
      <c r="B62">
        <v>1</v>
      </c>
      <c r="E62">
        <v>1</v>
      </c>
    </row>
    <row r="63" spans="1:5" x14ac:dyDescent="0.2">
      <c r="A63" s="2" t="s">
        <v>369</v>
      </c>
      <c r="B63">
        <v>1</v>
      </c>
      <c r="C63">
        <v>1</v>
      </c>
      <c r="E63">
        <v>2</v>
      </c>
    </row>
    <row r="64" spans="1:5" x14ac:dyDescent="0.2">
      <c r="A64" s="2" t="s">
        <v>367</v>
      </c>
      <c r="B64">
        <v>3</v>
      </c>
      <c r="E64">
        <v>3</v>
      </c>
    </row>
    <row r="65" spans="1:5" x14ac:dyDescent="0.2">
      <c r="A65" s="2" t="s">
        <v>311</v>
      </c>
      <c r="B65">
        <v>7</v>
      </c>
      <c r="E65">
        <v>7</v>
      </c>
    </row>
    <row r="66" spans="1:5" x14ac:dyDescent="0.2">
      <c r="A66" s="2" t="s">
        <v>403</v>
      </c>
      <c r="B66">
        <v>1</v>
      </c>
      <c r="E66">
        <v>1</v>
      </c>
    </row>
    <row r="67" spans="1:5" x14ac:dyDescent="0.2">
      <c r="A67" s="2" t="s">
        <v>526</v>
      </c>
      <c r="B67">
        <v>3</v>
      </c>
      <c r="E67">
        <v>3</v>
      </c>
    </row>
    <row r="68" spans="1:5" x14ac:dyDescent="0.2">
      <c r="A68" s="2" t="s">
        <v>122</v>
      </c>
      <c r="B68">
        <v>7</v>
      </c>
      <c r="E68">
        <v>7</v>
      </c>
    </row>
    <row r="69" spans="1:5" x14ac:dyDescent="0.2">
      <c r="A69" s="2" t="s">
        <v>1772</v>
      </c>
      <c r="B69">
        <v>1</v>
      </c>
      <c r="E69">
        <v>1</v>
      </c>
    </row>
    <row r="70" spans="1:5" x14ac:dyDescent="0.2">
      <c r="A70" s="2" t="s">
        <v>321</v>
      </c>
      <c r="B70">
        <v>1</v>
      </c>
      <c r="E70">
        <v>1</v>
      </c>
    </row>
    <row r="71" spans="1:5" x14ac:dyDescent="0.2">
      <c r="A71" s="2" t="s">
        <v>1594</v>
      </c>
      <c r="B71">
        <v>1</v>
      </c>
      <c r="E71">
        <v>1</v>
      </c>
    </row>
    <row r="72" spans="1:5" x14ac:dyDescent="0.2">
      <c r="A72" s="2" t="s">
        <v>1046</v>
      </c>
      <c r="B72">
        <v>1</v>
      </c>
      <c r="E72">
        <v>1</v>
      </c>
    </row>
    <row r="73" spans="1:5" x14ac:dyDescent="0.2">
      <c r="A73" s="2" t="s">
        <v>1927</v>
      </c>
      <c r="B73">
        <v>1</v>
      </c>
      <c r="E73">
        <v>1</v>
      </c>
    </row>
    <row r="74" spans="1:5" x14ac:dyDescent="0.2">
      <c r="A74" s="2" t="s">
        <v>769</v>
      </c>
      <c r="B74">
        <v>1</v>
      </c>
      <c r="E74">
        <v>1</v>
      </c>
    </row>
    <row r="75" spans="1:5" x14ac:dyDescent="0.2">
      <c r="A75" s="2" t="s">
        <v>816</v>
      </c>
      <c r="B75">
        <v>12</v>
      </c>
      <c r="E75">
        <v>12</v>
      </c>
    </row>
    <row r="76" spans="1:5" x14ac:dyDescent="0.2">
      <c r="A76" s="2" t="s">
        <v>1839</v>
      </c>
    </row>
    <row r="77" spans="1:5" x14ac:dyDescent="0.2">
      <c r="A77" s="2" t="s">
        <v>1224</v>
      </c>
      <c r="B77">
        <v>1</v>
      </c>
      <c r="E77">
        <v>1</v>
      </c>
    </row>
    <row r="78" spans="1:5" x14ac:dyDescent="0.2">
      <c r="A78" s="2" t="s">
        <v>1278</v>
      </c>
      <c r="B78">
        <v>1</v>
      </c>
      <c r="E78">
        <v>1</v>
      </c>
    </row>
    <row r="79" spans="1:5" x14ac:dyDescent="0.2">
      <c r="A79" s="2" t="s">
        <v>233</v>
      </c>
      <c r="B79">
        <v>2</v>
      </c>
      <c r="E79">
        <v>2</v>
      </c>
    </row>
    <row r="80" spans="1:5" x14ac:dyDescent="0.2">
      <c r="A80" s="2" t="s">
        <v>1686</v>
      </c>
      <c r="B80">
        <v>1</v>
      </c>
      <c r="E80">
        <v>1</v>
      </c>
    </row>
    <row r="81" spans="1:5" x14ac:dyDescent="0.2">
      <c r="A81" s="2" t="s">
        <v>891</v>
      </c>
      <c r="B81">
        <v>1</v>
      </c>
      <c r="E81">
        <v>1</v>
      </c>
    </row>
    <row r="82" spans="1:5" x14ac:dyDescent="0.2">
      <c r="A82" s="2" t="s">
        <v>465</v>
      </c>
      <c r="B82">
        <v>1</v>
      </c>
      <c r="E82">
        <v>1</v>
      </c>
    </row>
    <row r="83" spans="1:5" x14ac:dyDescent="0.2">
      <c r="A83" s="2" t="s">
        <v>1005</v>
      </c>
      <c r="B83">
        <v>1</v>
      </c>
      <c r="E83">
        <v>1</v>
      </c>
    </row>
    <row r="84" spans="1:5" x14ac:dyDescent="0.2">
      <c r="A84" s="2" t="s">
        <v>869</v>
      </c>
      <c r="B84">
        <v>1</v>
      </c>
      <c r="E84">
        <v>1</v>
      </c>
    </row>
    <row r="85" spans="1:5" x14ac:dyDescent="0.2">
      <c r="A85" s="2" t="s">
        <v>667</v>
      </c>
      <c r="B85">
        <v>2</v>
      </c>
      <c r="E85">
        <v>2</v>
      </c>
    </row>
    <row r="86" spans="1:5" x14ac:dyDescent="0.2">
      <c r="A86" s="2" t="s">
        <v>378</v>
      </c>
      <c r="C86">
        <v>2</v>
      </c>
      <c r="E86">
        <v>2</v>
      </c>
    </row>
    <row r="87" spans="1:5" x14ac:dyDescent="0.2">
      <c r="A87" s="2" t="s">
        <v>86</v>
      </c>
      <c r="B87">
        <v>1</v>
      </c>
      <c r="E87">
        <v>1</v>
      </c>
    </row>
    <row r="88" spans="1:5" x14ac:dyDescent="0.2">
      <c r="A88" s="2" t="s">
        <v>200</v>
      </c>
      <c r="B88">
        <v>1</v>
      </c>
      <c r="E88">
        <v>1</v>
      </c>
    </row>
    <row r="89" spans="1:5" x14ac:dyDescent="0.2">
      <c r="A89" s="2" t="s">
        <v>1422</v>
      </c>
      <c r="B89">
        <v>1</v>
      </c>
      <c r="E89">
        <v>1</v>
      </c>
    </row>
    <row r="90" spans="1:5" x14ac:dyDescent="0.2">
      <c r="A90" s="2" t="s">
        <v>1508</v>
      </c>
      <c r="B90">
        <v>1</v>
      </c>
      <c r="E90">
        <v>1</v>
      </c>
    </row>
    <row r="91" spans="1:5" x14ac:dyDescent="0.2">
      <c r="A91" s="2" t="s">
        <v>1105</v>
      </c>
      <c r="B91">
        <v>1</v>
      </c>
      <c r="E91">
        <v>1</v>
      </c>
    </row>
    <row r="92" spans="1:5" x14ac:dyDescent="0.2">
      <c r="A92" s="2" t="s">
        <v>1754</v>
      </c>
      <c r="B92">
        <v>1</v>
      </c>
      <c r="E92">
        <v>1</v>
      </c>
    </row>
    <row r="93" spans="1:5" x14ac:dyDescent="0.2">
      <c r="A93" s="2" t="s">
        <v>1237</v>
      </c>
      <c r="B93">
        <v>5</v>
      </c>
      <c r="E93">
        <v>5</v>
      </c>
    </row>
    <row r="94" spans="1:5" x14ac:dyDescent="0.2">
      <c r="A94" s="2" t="s">
        <v>544</v>
      </c>
      <c r="B94">
        <v>1</v>
      </c>
      <c r="E94">
        <v>1</v>
      </c>
    </row>
    <row r="95" spans="1:5" x14ac:dyDescent="0.2">
      <c r="A95" s="2" t="s">
        <v>988</v>
      </c>
      <c r="B95">
        <v>1</v>
      </c>
      <c r="E95">
        <v>1</v>
      </c>
    </row>
    <row r="96" spans="1:5" x14ac:dyDescent="0.2">
      <c r="A96" s="2" t="s">
        <v>332</v>
      </c>
      <c r="B96">
        <v>1</v>
      </c>
      <c r="E96">
        <v>1</v>
      </c>
    </row>
    <row r="97" spans="1:5" x14ac:dyDescent="0.2">
      <c r="A97" s="2" t="s">
        <v>1335</v>
      </c>
      <c r="B97">
        <v>1</v>
      </c>
      <c r="E97">
        <v>1</v>
      </c>
    </row>
    <row r="98" spans="1:5" x14ac:dyDescent="0.2">
      <c r="A98" s="2" t="s">
        <v>721</v>
      </c>
      <c r="B98">
        <v>1</v>
      </c>
      <c r="E98">
        <v>1</v>
      </c>
    </row>
    <row r="99" spans="1:5" x14ac:dyDescent="0.2">
      <c r="A99" s="2" t="s">
        <v>1132</v>
      </c>
      <c r="B99">
        <v>2</v>
      </c>
      <c r="E99">
        <v>2</v>
      </c>
    </row>
    <row r="100" spans="1:5" x14ac:dyDescent="0.2">
      <c r="A100" s="2" t="s">
        <v>571</v>
      </c>
      <c r="B100">
        <v>1</v>
      </c>
      <c r="E100">
        <v>1</v>
      </c>
    </row>
    <row r="101" spans="1:5" x14ac:dyDescent="0.2">
      <c r="A101" s="2" t="s">
        <v>1153</v>
      </c>
      <c r="B101">
        <v>1</v>
      </c>
      <c r="E101">
        <v>1</v>
      </c>
    </row>
    <row r="102" spans="1:5" x14ac:dyDescent="0.2">
      <c r="A102" s="2" t="s">
        <v>1436</v>
      </c>
      <c r="B102">
        <v>1</v>
      </c>
      <c r="E102">
        <v>1</v>
      </c>
    </row>
    <row r="103" spans="1:5" x14ac:dyDescent="0.2">
      <c r="A103" s="2" t="s">
        <v>1707</v>
      </c>
      <c r="B103">
        <v>1</v>
      </c>
      <c r="E103">
        <v>1</v>
      </c>
    </row>
    <row r="104" spans="1:5" x14ac:dyDescent="0.2">
      <c r="A104" s="2" t="s">
        <v>609</v>
      </c>
      <c r="B104">
        <v>1</v>
      </c>
      <c r="E104">
        <v>1</v>
      </c>
    </row>
    <row r="105" spans="1:5" x14ac:dyDescent="0.2">
      <c r="A105" s="2" t="s">
        <v>1935</v>
      </c>
      <c r="B105">
        <v>2</v>
      </c>
      <c r="E105">
        <v>2</v>
      </c>
    </row>
    <row r="106" spans="1:5" x14ac:dyDescent="0.2">
      <c r="A106" s="2" t="s">
        <v>496</v>
      </c>
      <c r="B106">
        <v>5</v>
      </c>
      <c r="E106">
        <v>5</v>
      </c>
    </row>
    <row r="107" spans="1:5" x14ac:dyDescent="0.2">
      <c r="A107" s="2" t="s">
        <v>1275</v>
      </c>
      <c r="B107">
        <v>2</v>
      </c>
      <c r="E107">
        <v>2</v>
      </c>
    </row>
    <row r="108" spans="1:5" x14ac:dyDescent="0.2">
      <c r="A108" s="2" t="s">
        <v>113</v>
      </c>
      <c r="B108">
        <v>3</v>
      </c>
      <c r="E108">
        <v>3</v>
      </c>
    </row>
    <row r="109" spans="1:5" x14ac:dyDescent="0.2">
      <c r="A109" s="2" t="s">
        <v>54</v>
      </c>
      <c r="B109">
        <v>1</v>
      </c>
      <c r="E109">
        <v>1</v>
      </c>
    </row>
    <row r="110" spans="1:5" x14ac:dyDescent="0.2">
      <c r="A110" s="2" t="s">
        <v>383</v>
      </c>
      <c r="B110">
        <v>1</v>
      </c>
      <c r="E110">
        <v>1</v>
      </c>
    </row>
    <row r="111" spans="1:5" x14ac:dyDescent="0.2">
      <c r="A111" s="2" t="s">
        <v>1314</v>
      </c>
      <c r="B111">
        <v>3</v>
      </c>
      <c r="E111">
        <v>3</v>
      </c>
    </row>
    <row r="112" spans="1:5" x14ac:dyDescent="0.2">
      <c r="A112" s="2" t="s">
        <v>1363</v>
      </c>
      <c r="C112">
        <v>1</v>
      </c>
      <c r="E112">
        <v>1</v>
      </c>
    </row>
    <row r="113" spans="1:5" x14ac:dyDescent="0.2">
      <c r="A113" s="2" t="s">
        <v>1087</v>
      </c>
      <c r="B113">
        <v>2</v>
      </c>
      <c r="E113">
        <v>2</v>
      </c>
    </row>
    <row r="114" spans="1:5" x14ac:dyDescent="0.2">
      <c r="A114" s="2" t="s">
        <v>155</v>
      </c>
      <c r="B114">
        <v>3</v>
      </c>
      <c r="E114">
        <v>3</v>
      </c>
    </row>
    <row r="115" spans="1:5" x14ac:dyDescent="0.2">
      <c r="A115" s="2" t="s">
        <v>1035</v>
      </c>
      <c r="B115">
        <v>1</v>
      </c>
      <c r="E115">
        <v>1</v>
      </c>
    </row>
    <row r="116" spans="1:5" x14ac:dyDescent="0.2">
      <c r="A116" s="2" t="s">
        <v>82</v>
      </c>
      <c r="B116">
        <v>1</v>
      </c>
      <c r="E116">
        <v>1</v>
      </c>
    </row>
    <row r="117" spans="1:5" x14ac:dyDescent="0.2">
      <c r="A117" s="2" t="s">
        <v>533</v>
      </c>
      <c r="B117">
        <v>1</v>
      </c>
      <c r="E117">
        <v>1</v>
      </c>
    </row>
    <row r="118" spans="1:5" x14ac:dyDescent="0.2">
      <c r="A118" s="2" t="s">
        <v>751</v>
      </c>
      <c r="C118">
        <v>1</v>
      </c>
      <c r="E118">
        <v>1</v>
      </c>
    </row>
    <row r="119" spans="1:5" x14ac:dyDescent="0.2">
      <c r="A119" s="2" t="s">
        <v>1588</v>
      </c>
      <c r="B119">
        <v>1</v>
      </c>
      <c r="E119">
        <v>1</v>
      </c>
    </row>
    <row r="120" spans="1:5" x14ac:dyDescent="0.2">
      <c r="A120" s="2" t="s">
        <v>1891</v>
      </c>
      <c r="B120">
        <v>2</v>
      </c>
      <c r="E120">
        <v>2</v>
      </c>
    </row>
    <row r="121" spans="1:5" x14ac:dyDescent="0.2">
      <c r="A121" s="2" t="s">
        <v>406</v>
      </c>
      <c r="B121">
        <v>1</v>
      </c>
      <c r="E121">
        <v>1</v>
      </c>
    </row>
    <row r="122" spans="1:5" x14ac:dyDescent="0.2">
      <c r="A122" s="2" t="s">
        <v>579</v>
      </c>
      <c r="B122">
        <v>1</v>
      </c>
      <c r="E122">
        <v>1</v>
      </c>
    </row>
    <row r="123" spans="1:5" x14ac:dyDescent="0.2">
      <c r="A123" s="2" t="s">
        <v>305</v>
      </c>
      <c r="B123">
        <v>1</v>
      </c>
      <c r="E123">
        <v>1</v>
      </c>
    </row>
    <row r="124" spans="1:5" x14ac:dyDescent="0.2">
      <c r="A124" s="2" t="s">
        <v>2017</v>
      </c>
    </row>
    <row r="125" spans="1:5" x14ac:dyDescent="0.2">
      <c r="A125" s="2" t="s">
        <v>1412</v>
      </c>
      <c r="B125">
        <v>1</v>
      </c>
      <c r="E125">
        <v>1</v>
      </c>
    </row>
    <row r="126" spans="1:5" x14ac:dyDescent="0.2">
      <c r="A126" s="2" t="s">
        <v>1254</v>
      </c>
      <c r="B126">
        <v>1</v>
      </c>
      <c r="E126">
        <v>1</v>
      </c>
    </row>
    <row r="127" spans="1:5" x14ac:dyDescent="0.2">
      <c r="A127" s="2" t="s">
        <v>478</v>
      </c>
      <c r="B127">
        <v>1</v>
      </c>
      <c r="E127">
        <v>1</v>
      </c>
    </row>
    <row r="128" spans="1:5" x14ac:dyDescent="0.2">
      <c r="A128" s="2" t="s">
        <v>1320</v>
      </c>
      <c r="B128">
        <v>1</v>
      </c>
      <c r="E128">
        <v>1</v>
      </c>
    </row>
    <row r="129" spans="1:5" x14ac:dyDescent="0.2">
      <c r="A129" s="2" t="s">
        <v>1031</v>
      </c>
      <c r="C129">
        <v>1</v>
      </c>
      <c r="E129">
        <v>1</v>
      </c>
    </row>
    <row r="130" spans="1:5" x14ac:dyDescent="0.2">
      <c r="A130" s="2" t="s">
        <v>1251</v>
      </c>
      <c r="B130">
        <v>2</v>
      </c>
      <c r="E130">
        <v>2</v>
      </c>
    </row>
    <row r="131" spans="1:5" x14ac:dyDescent="0.2">
      <c r="A131" s="2" t="s">
        <v>466</v>
      </c>
      <c r="B131">
        <v>2</v>
      </c>
      <c r="E131">
        <v>2</v>
      </c>
    </row>
    <row r="132" spans="1:5" x14ac:dyDescent="0.2">
      <c r="A132" s="2" t="s">
        <v>1490</v>
      </c>
      <c r="B132">
        <v>1</v>
      </c>
      <c r="E132">
        <v>1</v>
      </c>
    </row>
    <row r="133" spans="1:5" x14ac:dyDescent="0.2">
      <c r="A133" s="2" t="s">
        <v>2022</v>
      </c>
      <c r="B133">
        <v>1</v>
      </c>
      <c r="E133">
        <v>1</v>
      </c>
    </row>
    <row r="134" spans="1:5" x14ac:dyDescent="0.2">
      <c r="A134" s="2" t="s">
        <v>1942</v>
      </c>
      <c r="B134">
        <v>2</v>
      </c>
      <c r="E134">
        <v>2</v>
      </c>
    </row>
    <row r="135" spans="1:5" x14ac:dyDescent="0.2">
      <c r="A135" s="2" t="s">
        <v>361</v>
      </c>
      <c r="B135">
        <v>1</v>
      </c>
      <c r="E135">
        <v>1</v>
      </c>
    </row>
    <row r="136" spans="1:5" x14ac:dyDescent="0.2">
      <c r="A136" s="2" t="s">
        <v>1221</v>
      </c>
      <c r="B136">
        <v>2</v>
      </c>
      <c r="C136">
        <v>1</v>
      </c>
      <c r="E136">
        <v>3</v>
      </c>
    </row>
    <row r="137" spans="1:5" x14ac:dyDescent="0.2">
      <c r="A137" s="2" t="s">
        <v>503</v>
      </c>
      <c r="B137">
        <v>1</v>
      </c>
      <c r="E137">
        <v>1</v>
      </c>
    </row>
    <row r="138" spans="1:5" x14ac:dyDescent="0.2">
      <c r="A138" s="2" t="s">
        <v>1271</v>
      </c>
      <c r="B138">
        <v>1</v>
      </c>
      <c r="E138">
        <v>1</v>
      </c>
    </row>
    <row r="139" spans="1:5" x14ac:dyDescent="0.2">
      <c r="A139" s="2" t="s">
        <v>919</v>
      </c>
      <c r="B139">
        <v>1</v>
      </c>
      <c r="E139">
        <v>1</v>
      </c>
    </row>
    <row r="140" spans="1:5" x14ac:dyDescent="0.2">
      <c r="A140" s="2" t="s">
        <v>419</v>
      </c>
      <c r="B140">
        <v>7</v>
      </c>
      <c r="E140">
        <v>7</v>
      </c>
    </row>
    <row r="141" spans="1:5" x14ac:dyDescent="0.2">
      <c r="A141" s="2" t="s">
        <v>1949</v>
      </c>
      <c r="B141">
        <v>1</v>
      </c>
      <c r="E141">
        <v>1</v>
      </c>
    </row>
    <row r="142" spans="1:5" x14ac:dyDescent="0.2">
      <c r="A142" s="2" t="s">
        <v>807</v>
      </c>
      <c r="C142">
        <v>1</v>
      </c>
      <c r="E142">
        <v>1</v>
      </c>
    </row>
    <row r="143" spans="1:5" x14ac:dyDescent="0.2">
      <c r="A143" s="2" t="s">
        <v>72</v>
      </c>
      <c r="B143">
        <v>2</v>
      </c>
      <c r="E143">
        <v>2</v>
      </c>
    </row>
    <row r="144" spans="1:5" x14ac:dyDescent="0.2">
      <c r="A144" s="2" t="s">
        <v>1459</v>
      </c>
      <c r="B144">
        <v>1</v>
      </c>
      <c r="E144">
        <v>1</v>
      </c>
    </row>
    <row r="145" spans="1:5" x14ac:dyDescent="0.2">
      <c r="A145" s="2" t="s">
        <v>1266</v>
      </c>
      <c r="B145">
        <v>1</v>
      </c>
      <c r="E145">
        <v>1</v>
      </c>
    </row>
    <row r="146" spans="1:5" x14ac:dyDescent="0.2">
      <c r="A146" s="2" t="s">
        <v>2029</v>
      </c>
      <c r="B146">
        <v>1</v>
      </c>
      <c r="E146">
        <v>1</v>
      </c>
    </row>
    <row r="147" spans="1:5" x14ac:dyDescent="0.2">
      <c r="A147" s="2" t="s">
        <v>1212</v>
      </c>
      <c r="B147">
        <v>1</v>
      </c>
      <c r="E147">
        <v>1</v>
      </c>
    </row>
    <row r="148" spans="1:5" x14ac:dyDescent="0.2">
      <c r="A148" s="2" t="s">
        <v>1135</v>
      </c>
      <c r="B148">
        <v>1</v>
      </c>
      <c r="E148">
        <v>1</v>
      </c>
    </row>
    <row r="149" spans="1:5" x14ac:dyDescent="0.2">
      <c r="A149" s="2" t="s">
        <v>1013</v>
      </c>
      <c r="B149">
        <v>1</v>
      </c>
      <c r="E149">
        <v>1</v>
      </c>
    </row>
    <row r="150" spans="1:5" x14ac:dyDescent="0.2">
      <c r="A150" s="2" t="s">
        <v>160</v>
      </c>
      <c r="B150">
        <v>2</v>
      </c>
      <c r="E150">
        <v>2</v>
      </c>
    </row>
    <row r="151" spans="1:5" x14ac:dyDescent="0.2">
      <c r="A151" s="2" t="s">
        <v>213</v>
      </c>
      <c r="B151">
        <v>3</v>
      </c>
      <c r="E151">
        <v>3</v>
      </c>
    </row>
    <row r="152" spans="1:5" x14ac:dyDescent="0.2">
      <c r="A152" s="2" t="s">
        <v>214</v>
      </c>
      <c r="B152">
        <v>12</v>
      </c>
      <c r="E152">
        <v>12</v>
      </c>
    </row>
    <row r="153" spans="1:5" x14ac:dyDescent="0.2">
      <c r="A153" s="2" t="s">
        <v>639</v>
      </c>
      <c r="B153">
        <v>1</v>
      </c>
      <c r="E153">
        <v>1</v>
      </c>
    </row>
    <row r="154" spans="1:5" x14ac:dyDescent="0.2">
      <c r="A154" s="2" t="s">
        <v>762</v>
      </c>
      <c r="B154">
        <v>2</v>
      </c>
      <c r="C154">
        <v>2</v>
      </c>
      <c r="E154">
        <v>4</v>
      </c>
    </row>
    <row r="155" spans="1:5" x14ac:dyDescent="0.2">
      <c r="A155" s="2" t="s">
        <v>1244</v>
      </c>
      <c r="B155">
        <v>4</v>
      </c>
      <c r="E155">
        <v>4</v>
      </c>
    </row>
    <row r="156" spans="1:5" x14ac:dyDescent="0.2">
      <c r="A156" s="2" t="s">
        <v>952</v>
      </c>
      <c r="B156">
        <v>2</v>
      </c>
      <c r="E156">
        <v>2</v>
      </c>
    </row>
    <row r="157" spans="1:5" x14ac:dyDescent="0.2">
      <c r="A157" s="2" t="s">
        <v>1492</v>
      </c>
      <c r="B157">
        <v>1</v>
      </c>
      <c r="E157">
        <v>1</v>
      </c>
    </row>
    <row r="158" spans="1:5" x14ac:dyDescent="0.2">
      <c r="A158" s="2" t="s">
        <v>633</v>
      </c>
      <c r="B158">
        <v>3</v>
      </c>
      <c r="E158">
        <v>3</v>
      </c>
    </row>
    <row r="159" spans="1:5" x14ac:dyDescent="0.2">
      <c r="A159" s="2" t="s">
        <v>264</v>
      </c>
      <c r="B159">
        <v>3</v>
      </c>
      <c r="E159">
        <v>3</v>
      </c>
    </row>
    <row r="160" spans="1:5" x14ac:dyDescent="0.2">
      <c r="A160" s="2" t="s">
        <v>1536</v>
      </c>
      <c r="B160">
        <v>2</v>
      </c>
      <c r="E160">
        <v>2</v>
      </c>
    </row>
    <row r="161" spans="1:5" x14ac:dyDescent="0.2">
      <c r="A161" s="2" t="s">
        <v>90</v>
      </c>
      <c r="B161">
        <v>5</v>
      </c>
      <c r="E161">
        <v>5</v>
      </c>
    </row>
    <row r="162" spans="1:5" x14ac:dyDescent="0.2">
      <c r="A162" s="2" t="s">
        <v>1197</v>
      </c>
      <c r="B162">
        <v>1</v>
      </c>
      <c r="C162">
        <v>1</v>
      </c>
      <c r="E162">
        <v>2</v>
      </c>
    </row>
    <row r="163" spans="1:5" x14ac:dyDescent="0.2">
      <c r="A163" s="2" t="s">
        <v>1261</v>
      </c>
      <c r="B163">
        <v>1</v>
      </c>
      <c r="E163">
        <v>1</v>
      </c>
    </row>
    <row r="164" spans="1:5" x14ac:dyDescent="0.2">
      <c r="A164" s="2" t="s">
        <v>1187</v>
      </c>
      <c r="B164">
        <v>1</v>
      </c>
      <c r="E164">
        <v>1</v>
      </c>
    </row>
    <row r="165" spans="1:5" x14ac:dyDescent="0.2">
      <c r="A165" s="2" t="s">
        <v>453</v>
      </c>
      <c r="B165">
        <v>2</v>
      </c>
      <c r="E165">
        <v>2</v>
      </c>
    </row>
    <row r="166" spans="1:5" x14ac:dyDescent="0.2">
      <c r="A166" s="2" t="s">
        <v>365</v>
      </c>
      <c r="B166">
        <v>9</v>
      </c>
      <c r="E166">
        <v>9</v>
      </c>
    </row>
    <row r="167" spans="1:5" x14ac:dyDescent="0.2">
      <c r="A167" s="2" t="s">
        <v>1565</v>
      </c>
      <c r="B167">
        <v>2</v>
      </c>
      <c r="E167">
        <v>2</v>
      </c>
    </row>
    <row r="168" spans="1:5" x14ac:dyDescent="0.2">
      <c r="A168" s="2" t="s">
        <v>236</v>
      </c>
      <c r="B168">
        <v>1</v>
      </c>
      <c r="E168">
        <v>1</v>
      </c>
    </row>
    <row r="169" spans="1:5" x14ac:dyDescent="0.2">
      <c r="A169" s="2" t="s">
        <v>1685</v>
      </c>
      <c r="B169">
        <v>1</v>
      </c>
      <c r="E169">
        <v>1</v>
      </c>
    </row>
    <row r="170" spans="1:5" x14ac:dyDescent="0.2">
      <c r="A170" s="2" t="s">
        <v>1072</v>
      </c>
      <c r="B170">
        <v>1</v>
      </c>
      <c r="E170">
        <v>1</v>
      </c>
    </row>
    <row r="171" spans="1:5" x14ac:dyDescent="0.2">
      <c r="A171" s="2" t="s">
        <v>519</v>
      </c>
      <c r="B171">
        <v>2</v>
      </c>
      <c r="E171">
        <v>2</v>
      </c>
    </row>
    <row r="172" spans="1:5" x14ac:dyDescent="0.2">
      <c r="A172" s="2" t="s">
        <v>239</v>
      </c>
      <c r="B172">
        <v>1</v>
      </c>
      <c r="E172">
        <v>1</v>
      </c>
    </row>
    <row r="173" spans="1:5" x14ac:dyDescent="0.2">
      <c r="A173" s="2" t="s">
        <v>745</v>
      </c>
      <c r="C173">
        <v>1</v>
      </c>
      <c r="E173">
        <v>1</v>
      </c>
    </row>
    <row r="174" spans="1:5" x14ac:dyDescent="0.2">
      <c r="A174" s="2" t="s">
        <v>1917</v>
      </c>
      <c r="B174">
        <v>1</v>
      </c>
      <c r="E174">
        <v>1</v>
      </c>
    </row>
    <row r="175" spans="1:5" x14ac:dyDescent="0.2">
      <c r="A175" s="2" t="s">
        <v>522</v>
      </c>
      <c r="B175">
        <v>2</v>
      </c>
      <c r="E175">
        <v>2</v>
      </c>
    </row>
    <row r="176" spans="1:5" x14ac:dyDescent="0.2">
      <c r="A176" s="2" t="s">
        <v>2002</v>
      </c>
      <c r="B176">
        <v>1</v>
      </c>
      <c r="E176">
        <v>1</v>
      </c>
    </row>
    <row r="177" spans="1:5" x14ac:dyDescent="0.2">
      <c r="A177" s="2" t="s">
        <v>949</v>
      </c>
      <c r="B177">
        <v>4</v>
      </c>
      <c r="E177">
        <v>4</v>
      </c>
    </row>
    <row r="178" spans="1:5" x14ac:dyDescent="0.2">
      <c r="A178" s="2" t="s">
        <v>1282</v>
      </c>
      <c r="B178">
        <v>2</v>
      </c>
      <c r="E178">
        <v>2</v>
      </c>
    </row>
    <row r="179" spans="1:5" x14ac:dyDescent="0.2">
      <c r="A179" s="2" t="s">
        <v>1938</v>
      </c>
      <c r="B179">
        <v>1</v>
      </c>
      <c r="E179">
        <v>1</v>
      </c>
    </row>
    <row r="180" spans="1:5" x14ac:dyDescent="0.2">
      <c r="A180" s="2" t="s">
        <v>1431</v>
      </c>
      <c r="B180">
        <v>1</v>
      </c>
      <c r="E180">
        <v>1</v>
      </c>
    </row>
    <row r="181" spans="1:5" x14ac:dyDescent="0.2">
      <c r="A181" s="2" t="s">
        <v>1150</v>
      </c>
      <c r="C181">
        <v>1</v>
      </c>
      <c r="E181">
        <v>1</v>
      </c>
    </row>
    <row r="182" spans="1:5" x14ac:dyDescent="0.2">
      <c r="A182" s="2" t="s">
        <v>168</v>
      </c>
      <c r="B182">
        <v>1</v>
      </c>
      <c r="E182">
        <v>1</v>
      </c>
    </row>
    <row r="183" spans="1:5" x14ac:dyDescent="0.2">
      <c r="A183" s="2" t="s">
        <v>190</v>
      </c>
      <c r="B183">
        <v>1</v>
      </c>
      <c r="E183">
        <v>1</v>
      </c>
    </row>
    <row r="184" spans="1:5" x14ac:dyDescent="0.2">
      <c r="A184" s="2" t="s">
        <v>993</v>
      </c>
      <c r="B184">
        <v>1</v>
      </c>
      <c r="E184">
        <v>1</v>
      </c>
    </row>
    <row r="185" spans="1:5" x14ac:dyDescent="0.2">
      <c r="A185" s="2" t="s">
        <v>968</v>
      </c>
      <c r="B185">
        <v>1</v>
      </c>
      <c r="E185">
        <v>1</v>
      </c>
    </row>
    <row r="186" spans="1:5" x14ac:dyDescent="0.2">
      <c r="A186" s="2" t="s">
        <v>1703</v>
      </c>
      <c r="B186">
        <v>1</v>
      </c>
      <c r="E186">
        <v>1</v>
      </c>
    </row>
    <row r="187" spans="1:5" x14ac:dyDescent="0.2">
      <c r="A187" s="2" t="s">
        <v>724</v>
      </c>
      <c r="B187">
        <v>1</v>
      </c>
      <c r="E187">
        <v>1</v>
      </c>
    </row>
    <row r="188" spans="1:5" x14ac:dyDescent="0.2">
      <c r="A188" s="2" t="s">
        <v>1990</v>
      </c>
      <c r="B188">
        <v>1</v>
      </c>
      <c r="E188">
        <v>1</v>
      </c>
    </row>
    <row r="189" spans="1:5" x14ac:dyDescent="0.2">
      <c r="A189" s="2" t="s">
        <v>755</v>
      </c>
      <c r="B189">
        <v>1</v>
      </c>
      <c r="E189">
        <v>1</v>
      </c>
    </row>
    <row r="190" spans="1:5" x14ac:dyDescent="0.2">
      <c r="A190" s="2" t="s">
        <v>327</v>
      </c>
      <c r="B190">
        <v>3</v>
      </c>
      <c r="E190">
        <v>3</v>
      </c>
    </row>
    <row r="191" spans="1:5" x14ac:dyDescent="0.2">
      <c r="A191" s="2" t="s">
        <v>799</v>
      </c>
      <c r="B191">
        <v>3</v>
      </c>
      <c r="E191">
        <v>3</v>
      </c>
    </row>
    <row r="192" spans="1:5" x14ac:dyDescent="0.2">
      <c r="A192" s="2" t="s">
        <v>1909</v>
      </c>
      <c r="B192">
        <v>1</v>
      </c>
      <c r="E192">
        <v>1</v>
      </c>
    </row>
    <row r="193" spans="1:5" x14ac:dyDescent="0.2">
      <c r="A193" s="2" t="s">
        <v>859</v>
      </c>
      <c r="B193">
        <v>2</v>
      </c>
      <c r="E193">
        <v>2</v>
      </c>
    </row>
    <row r="194" spans="1:5" x14ac:dyDescent="0.2">
      <c r="A194" s="2" t="s">
        <v>911</v>
      </c>
      <c r="B194">
        <v>2</v>
      </c>
      <c r="E194">
        <v>2</v>
      </c>
    </row>
    <row r="195" spans="1:5" x14ac:dyDescent="0.2">
      <c r="A195" s="2" t="s">
        <v>31</v>
      </c>
      <c r="B195">
        <v>5</v>
      </c>
      <c r="E195">
        <v>5</v>
      </c>
    </row>
    <row r="196" spans="1:5" x14ac:dyDescent="0.2">
      <c r="A196" s="2" t="s">
        <v>1900</v>
      </c>
      <c r="B196">
        <v>1</v>
      </c>
      <c r="E196">
        <v>1</v>
      </c>
    </row>
    <row r="197" spans="1:5" x14ac:dyDescent="0.2">
      <c r="A197" s="2" t="s">
        <v>498</v>
      </c>
      <c r="B197">
        <v>2</v>
      </c>
      <c r="E197">
        <v>2</v>
      </c>
    </row>
    <row r="198" spans="1:5" x14ac:dyDescent="0.2">
      <c r="A198" s="2" t="s">
        <v>50</v>
      </c>
      <c r="B198">
        <v>7</v>
      </c>
      <c r="C198">
        <v>1</v>
      </c>
      <c r="E198">
        <v>8</v>
      </c>
    </row>
    <row r="199" spans="1:5" x14ac:dyDescent="0.2">
      <c r="A199" s="2" t="s">
        <v>882</v>
      </c>
      <c r="B199">
        <v>1</v>
      </c>
      <c r="E199">
        <v>1</v>
      </c>
    </row>
    <row r="200" spans="1:5" x14ac:dyDescent="0.2">
      <c r="A200" s="2" t="s">
        <v>1217</v>
      </c>
      <c r="B200">
        <v>1</v>
      </c>
      <c r="E200">
        <v>1</v>
      </c>
    </row>
    <row r="201" spans="1:5" x14ac:dyDescent="0.2">
      <c r="A201" s="2" t="s">
        <v>1003</v>
      </c>
      <c r="B201">
        <v>1</v>
      </c>
      <c r="E201">
        <v>1</v>
      </c>
    </row>
    <row r="202" spans="1:5" x14ac:dyDescent="0.2">
      <c r="A202" s="2" t="s">
        <v>691</v>
      </c>
      <c r="B202">
        <v>1</v>
      </c>
      <c r="E202">
        <v>1</v>
      </c>
    </row>
    <row r="203" spans="1:5" x14ac:dyDescent="0.2">
      <c r="A203" s="2" t="s">
        <v>840</v>
      </c>
      <c r="B203">
        <v>1</v>
      </c>
      <c r="E203">
        <v>1</v>
      </c>
    </row>
    <row r="204" spans="1:5" x14ac:dyDescent="0.2">
      <c r="A204" s="2" t="s">
        <v>932</v>
      </c>
      <c r="B204">
        <v>1</v>
      </c>
      <c r="C204">
        <v>1</v>
      </c>
      <c r="E204">
        <v>2</v>
      </c>
    </row>
    <row r="205" spans="1:5" x14ac:dyDescent="0.2">
      <c r="A205" s="2" t="s">
        <v>821</v>
      </c>
      <c r="B205">
        <v>1</v>
      </c>
      <c r="E205">
        <v>1</v>
      </c>
    </row>
    <row r="206" spans="1:5" x14ac:dyDescent="0.2">
      <c r="A206" s="2" t="s">
        <v>1096</v>
      </c>
      <c r="B206">
        <v>1</v>
      </c>
      <c r="E206">
        <v>1</v>
      </c>
    </row>
    <row r="207" spans="1:5" x14ac:dyDescent="0.2">
      <c r="A207" s="2" t="s">
        <v>324</v>
      </c>
      <c r="B207">
        <v>4</v>
      </c>
      <c r="E207">
        <v>4</v>
      </c>
    </row>
    <row r="208" spans="1:5" x14ac:dyDescent="0.2">
      <c r="A208" s="2" t="s">
        <v>48</v>
      </c>
      <c r="B208">
        <v>6</v>
      </c>
      <c r="E208">
        <v>6</v>
      </c>
    </row>
    <row r="209" spans="1:5" x14ac:dyDescent="0.2">
      <c r="A209" s="2" t="s">
        <v>1836</v>
      </c>
      <c r="B209">
        <v>1</v>
      </c>
      <c r="E209">
        <v>1</v>
      </c>
    </row>
    <row r="210" spans="1:5" x14ac:dyDescent="0.2">
      <c r="A210" s="2" t="s">
        <v>394</v>
      </c>
      <c r="B210">
        <v>1</v>
      </c>
      <c r="E210">
        <v>1</v>
      </c>
    </row>
    <row r="211" spans="1:5" x14ac:dyDescent="0.2">
      <c r="A211" s="2" t="s">
        <v>863</v>
      </c>
      <c r="B211">
        <v>4</v>
      </c>
      <c r="E211">
        <v>4</v>
      </c>
    </row>
    <row r="212" spans="1:5" x14ac:dyDescent="0.2">
      <c r="A212" s="2" t="s">
        <v>528</v>
      </c>
      <c r="C212">
        <v>1</v>
      </c>
      <c r="E212">
        <v>1</v>
      </c>
    </row>
    <row r="213" spans="1:5" x14ac:dyDescent="0.2">
      <c r="A213" s="2" t="s">
        <v>227</v>
      </c>
      <c r="C213">
        <v>1</v>
      </c>
      <c r="E213">
        <v>1</v>
      </c>
    </row>
    <row r="214" spans="1:5" x14ac:dyDescent="0.2">
      <c r="A214" s="2" t="s">
        <v>1561</v>
      </c>
      <c r="C214">
        <v>1</v>
      </c>
      <c r="E214">
        <v>1</v>
      </c>
    </row>
    <row r="215" spans="1:5" x14ac:dyDescent="0.2">
      <c r="A215" s="2" t="s">
        <v>1414</v>
      </c>
      <c r="C215">
        <v>2</v>
      </c>
      <c r="E215">
        <v>2</v>
      </c>
    </row>
    <row r="216" spans="1:5" x14ac:dyDescent="0.2">
      <c r="A216" s="2" t="s">
        <v>1359</v>
      </c>
      <c r="C216">
        <v>3</v>
      </c>
      <c r="E216">
        <v>3</v>
      </c>
    </row>
    <row r="217" spans="1:5" x14ac:dyDescent="0.2">
      <c r="A217" s="2" t="s">
        <v>875</v>
      </c>
      <c r="C217">
        <v>1</v>
      </c>
      <c r="E217">
        <v>1</v>
      </c>
    </row>
    <row r="218" spans="1:5" x14ac:dyDescent="0.2">
      <c r="A218" s="2" t="s">
        <v>1645</v>
      </c>
      <c r="C218">
        <v>1</v>
      </c>
      <c r="E218">
        <v>1</v>
      </c>
    </row>
    <row r="219" spans="1:5" x14ac:dyDescent="0.2">
      <c r="A219" s="2" t="s">
        <v>1912</v>
      </c>
      <c r="B219">
        <v>1</v>
      </c>
      <c r="E219">
        <v>1</v>
      </c>
    </row>
    <row r="220" spans="1:5" x14ac:dyDescent="0.2">
      <c r="A220" s="2" t="s">
        <v>1799</v>
      </c>
      <c r="B220">
        <v>1</v>
      </c>
      <c r="E220">
        <v>1</v>
      </c>
    </row>
    <row r="221" spans="1:5" x14ac:dyDescent="0.2">
      <c r="A221" s="2" t="s">
        <v>1389</v>
      </c>
      <c r="B221">
        <v>1</v>
      </c>
      <c r="E221">
        <v>1</v>
      </c>
    </row>
    <row r="222" spans="1:5" x14ac:dyDescent="0.2">
      <c r="A222" s="2" t="s">
        <v>1559</v>
      </c>
      <c r="B222">
        <v>2</v>
      </c>
      <c r="E222">
        <v>2</v>
      </c>
    </row>
    <row r="223" spans="1:5" x14ac:dyDescent="0.2">
      <c r="A223" s="2" t="s">
        <v>68</v>
      </c>
      <c r="C223">
        <v>5</v>
      </c>
      <c r="E223">
        <v>5</v>
      </c>
    </row>
    <row r="224" spans="1:5" x14ac:dyDescent="0.2">
      <c r="A224" s="2" t="s">
        <v>1882</v>
      </c>
      <c r="B224">
        <v>1</v>
      </c>
      <c r="E224">
        <v>1</v>
      </c>
    </row>
    <row r="225" spans="1:5" x14ac:dyDescent="0.2">
      <c r="A225" s="2" t="s">
        <v>1338</v>
      </c>
      <c r="B225">
        <v>2</v>
      </c>
      <c r="E225">
        <v>2</v>
      </c>
    </row>
    <row r="226" spans="1:5" x14ac:dyDescent="0.2">
      <c r="A226" s="2" t="s">
        <v>388</v>
      </c>
      <c r="B226">
        <v>1</v>
      </c>
      <c r="E226">
        <v>1</v>
      </c>
    </row>
    <row r="227" spans="1:5" x14ac:dyDescent="0.2">
      <c r="A227" s="2" t="s">
        <v>163</v>
      </c>
      <c r="B227">
        <v>1</v>
      </c>
      <c r="E227">
        <v>1</v>
      </c>
    </row>
    <row r="228" spans="1:5" x14ac:dyDescent="0.2">
      <c r="A228" s="2" t="s">
        <v>41</v>
      </c>
      <c r="B228">
        <v>2</v>
      </c>
      <c r="E228">
        <v>2</v>
      </c>
    </row>
    <row r="229" spans="1:5" x14ac:dyDescent="0.2">
      <c r="A229" s="2" t="s">
        <v>906</v>
      </c>
      <c r="B229">
        <v>2</v>
      </c>
      <c r="E229">
        <v>2</v>
      </c>
    </row>
    <row r="230" spans="1:5" x14ac:dyDescent="0.2">
      <c r="A230" s="2" t="s">
        <v>1694</v>
      </c>
      <c r="B230">
        <v>1</v>
      </c>
      <c r="E230">
        <v>1</v>
      </c>
    </row>
    <row r="231" spans="1:5" x14ac:dyDescent="0.2">
      <c r="A231" s="2" t="s">
        <v>174</v>
      </c>
      <c r="B231">
        <v>1</v>
      </c>
      <c r="E231">
        <v>1</v>
      </c>
    </row>
    <row r="232" spans="1:5" x14ac:dyDescent="0.2">
      <c r="A232" s="2" t="s">
        <v>1291</v>
      </c>
      <c r="B232">
        <v>1</v>
      </c>
      <c r="E232">
        <v>1</v>
      </c>
    </row>
    <row r="233" spans="1:5" x14ac:dyDescent="0.2">
      <c r="A233" s="2" t="s">
        <v>1762</v>
      </c>
      <c r="B233">
        <v>1</v>
      </c>
      <c r="E233">
        <v>1</v>
      </c>
    </row>
    <row r="234" spans="1:5" x14ac:dyDescent="0.2">
      <c r="A234" s="2" t="s">
        <v>258</v>
      </c>
      <c r="B234">
        <v>2</v>
      </c>
      <c r="E234">
        <v>2</v>
      </c>
    </row>
    <row r="235" spans="1:5" x14ac:dyDescent="0.2">
      <c r="A235" s="2" t="s">
        <v>506</v>
      </c>
      <c r="B235">
        <v>6</v>
      </c>
      <c r="E235">
        <v>6</v>
      </c>
    </row>
    <row r="236" spans="1:5" x14ac:dyDescent="0.2">
      <c r="A236" s="2" t="s">
        <v>1210</v>
      </c>
      <c r="B236">
        <v>1</v>
      </c>
      <c r="E236">
        <v>1</v>
      </c>
    </row>
    <row r="237" spans="1:5" x14ac:dyDescent="0.2">
      <c r="A237" s="2" t="s">
        <v>1074</v>
      </c>
      <c r="B237">
        <v>1</v>
      </c>
      <c r="E237">
        <v>1</v>
      </c>
    </row>
    <row r="238" spans="1:5" x14ac:dyDescent="0.2">
      <c r="A238" s="2" t="s">
        <v>1370</v>
      </c>
      <c r="B238">
        <v>1</v>
      </c>
      <c r="E238">
        <v>1</v>
      </c>
    </row>
    <row r="239" spans="1:5" x14ac:dyDescent="0.2">
      <c r="A239" s="2" t="s">
        <v>135</v>
      </c>
      <c r="B239">
        <v>1</v>
      </c>
      <c r="E239">
        <v>1</v>
      </c>
    </row>
    <row r="240" spans="1:5" x14ac:dyDescent="0.2">
      <c r="A240" s="2" t="s">
        <v>1295</v>
      </c>
      <c r="B240">
        <v>1</v>
      </c>
      <c r="E240">
        <v>1</v>
      </c>
    </row>
    <row r="241" spans="1:5" x14ac:dyDescent="0.2">
      <c r="A241" s="2" t="s">
        <v>143</v>
      </c>
    </row>
    <row r="242" spans="1:5" x14ac:dyDescent="0.2">
      <c r="A242" s="2" t="s">
        <v>1960</v>
      </c>
      <c r="B242">
        <v>1</v>
      </c>
      <c r="E242">
        <v>1</v>
      </c>
    </row>
    <row r="243" spans="1:5" x14ac:dyDescent="0.2">
      <c r="A243" s="2" t="s">
        <v>1208</v>
      </c>
      <c r="B243">
        <v>1</v>
      </c>
      <c r="E243">
        <v>1</v>
      </c>
    </row>
    <row r="244" spans="1:5" x14ac:dyDescent="0.2">
      <c r="A244" s="2" t="s">
        <v>1379</v>
      </c>
      <c r="B244">
        <v>1</v>
      </c>
      <c r="E244">
        <v>1</v>
      </c>
    </row>
    <row r="245" spans="1:5" x14ac:dyDescent="0.2">
      <c r="A245" s="2" t="s">
        <v>2007</v>
      </c>
      <c r="B245">
        <v>1</v>
      </c>
      <c r="E245">
        <v>1</v>
      </c>
    </row>
    <row r="246" spans="1:5" x14ac:dyDescent="0.2">
      <c r="A246" s="2" t="s">
        <v>1653</v>
      </c>
      <c r="B246">
        <v>3</v>
      </c>
      <c r="E246">
        <v>3</v>
      </c>
    </row>
    <row r="247" spans="1:5" x14ac:dyDescent="0.2">
      <c r="A247" s="2" t="s">
        <v>736</v>
      </c>
      <c r="B247">
        <v>3</v>
      </c>
      <c r="E247">
        <v>3</v>
      </c>
    </row>
    <row r="248" spans="1:5" x14ac:dyDescent="0.2">
      <c r="A248" s="2" t="s">
        <v>849</v>
      </c>
      <c r="B248">
        <v>2</v>
      </c>
      <c r="E248">
        <v>2</v>
      </c>
    </row>
    <row r="249" spans="1:5" x14ac:dyDescent="0.2">
      <c r="A249" s="2" t="s">
        <v>1474</v>
      </c>
      <c r="B249">
        <v>3</v>
      </c>
      <c r="E249">
        <v>3</v>
      </c>
    </row>
    <row r="250" spans="1:5" x14ac:dyDescent="0.2">
      <c r="A250" s="2" t="s">
        <v>585</v>
      </c>
      <c r="B250">
        <v>1</v>
      </c>
      <c r="E250">
        <v>1</v>
      </c>
    </row>
    <row r="251" spans="1:5" x14ac:dyDescent="0.2">
      <c r="A251" s="2" t="s">
        <v>1616</v>
      </c>
      <c r="B251">
        <v>1</v>
      </c>
      <c r="E251">
        <v>1</v>
      </c>
    </row>
    <row r="252" spans="1:5" x14ac:dyDescent="0.2">
      <c r="A252" s="2" t="s">
        <v>1726</v>
      </c>
      <c r="B252">
        <v>1</v>
      </c>
      <c r="E252">
        <v>1</v>
      </c>
    </row>
    <row r="253" spans="1:5" x14ac:dyDescent="0.2">
      <c r="A253" s="2" t="s">
        <v>44</v>
      </c>
      <c r="B253">
        <v>6</v>
      </c>
      <c r="E253">
        <v>6</v>
      </c>
    </row>
    <row r="254" spans="1:5" x14ac:dyDescent="0.2">
      <c r="A254" s="2" t="s">
        <v>1750</v>
      </c>
      <c r="B254">
        <v>1</v>
      </c>
      <c r="E254">
        <v>1</v>
      </c>
    </row>
    <row r="255" spans="1:5" x14ac:dyDescent="0.2">
      <c r="A255" s="2" t="s">
        <v>1810</v>
      </c>
      <c r="B255">
        <v>1</v>
      </c>
      <c r="E255">
        <v>1</v>
      </c>
    </row>
    <row r="256" spans="1:5" x14ac:dyDescent="0.2">
      <c r="A256" s="2" t="s">
        <v>1661</v>
      </c>
      <c r="B256">
        <v>1</v>
      </c>
      <c r="E256">
        <v>1</v>
      </c>
    </row>
    <row r="257" spans="1:5" x14ac:dyDescent="0.2">
      <c r="A257" s="2" t="s">
        <v>835</v>
      </c>
      <c r="B257">
        <v>3</v>
      </c>
      <c r="E257">
        <v>3</v>
      </c>
    </row>
    <row r="258" spans="1:5" x14ac:dyDescent="0.2">
      <c r="A258" s="2" t="s">
        <v>793</v>
      </c>
      <c r="B258">
        <v>2</v>
      </c>
      <c r="E258">
        <v>2</v>
      </c>
    </row>
    <row r="259" spans="1:5" x14ac:dyDescent="0.2">
      <c r="A259" s="2" t="s">
        <v>1876</v>
      </c>
      <c r="B259">
        <v>1</v>
      </c>
      <c r="E259">
        <v>1</v>
      </c>
    </row>
    <row r="260" spans="1:5" x14ac:dyDescent="0.2">
      <c r="A260" s="2" t="s">
        <v>1203</v>
      </c>
      <c r="B260">
        <v>2</v>
      </c>
      <c r="E260">
        <v>2</v>
      </c>
    </row>
    <row r="261" spans="1:5" x14ac:dyDescent="0.2">
      <c r="A261" s="2" t="s">
        <v>865</v>
      </c>
      <c r="B261">
        <v>1</v>
      </c>
      <c r="E261">
        <v>1</v>
      </c>
    </row>
    <row r="262" spans="1:5" x14ac:dyDescent="0.2">
      <c r="A262" s="2" t="s">
        <v>802</v>
      </c>
      <c r="B262">
        <v>2</v>
      </c>
      <c r="E262">
        <v>2</v>
      </c>
    </row>
    <row r="263" spans="1:5" x14ac:dyDescent="0.2">
      <c r="A263" s="2" t="s">
        <v>936</v>
      </c>
      <c r="B263">
        <v>2</v>
      </c>
      <c r="E263">
        <v>2</v>
      </c>
    </row>
    <row r="264" spans="1:5" x14ac:dyDescent="0.2">
      <c r="A264" s="2" t="s">
        <v>1978</v>
      </c>
      <c r="B264">
        <v>1</v>
      </c>
      <c r="E264">
        <v>1</v>
      </c>
    </row>
    <row r="265" spans="1:5" x14ac:dyDescent="0.2">
      <c r="A265" s="2" t="s">
        <v>58</v>
      </c>
      <c r="B265">
        <v>2</v>
      </c>
      <c r="E265">
        <v>2</v>
      </c>
    </row>
    <row r="266" spans="1:5" x14ac:dyDescent="0.2">
      <c r="A266" s="2" t="s">
        <v>1157</v>
      </c>
      <c r="B266">
        <v>1</v>
      </c>
      <c r="E266">
        <v>1</v>
      </c>
    </row>
    <row r="267" spans="1:5" x14ac:dyDescent="0.2">
      <c r="A267" s="2" t="s">
        <v>1873</v>
      </c>
      <c r="B267">
        <v>1</v>
      </c>
      <c r="E267">
        <v>1</v>
      </c>
    </row>
    <row r="268" spans="1:5" x14ac:dyDescent="0.2">
      <c r="A268" s="2" t="s">
        <v>1791</v>
      </c>
      <c r="B268">
        <v>2</v>
      </c>
      <c r="E268">
        <v>2</v>
      </c>
    </row>
    <row r="269" spans="1:5" x14ac:dyDescent="0.2">
      <c r="A269" s="2" t="s">
        <v>699</v>
      </c>
      <c r="B269">
        <v>2</v>
      </c>
      <c r="E269">
        <v>2</v>
      </c>
    </row>
    <row r="270" spans="1:5" x14ac:dyDescent="0.2">
      <c r="A270" s="2" t="s">
        <v>352</v>
      </c>
      <c r="B270">
        <v>4</v>
      </c>
      <c r="E270">
        <v>4</v>
      </c>
    </row>
    <row r="271" spans="1:5" x14ac:dyDescent="0.2">
      <c r="A271" s="2" t="s">
        <v>1285</v>
      </c>
      <c r="B271">
        <v>1</v>
      </c>
      <c r="E271">
        <v>1</v>
      </c>
    </row>
    <row r="272" spans="1:5" x14ac:dyDescent="0.2">
      <c r="A272" s="2" t="s">
        <v>1621</v>
      </c>
      <c r="B272">
        <v>2</v>
      </c>
      <c r="E272">
        <v>2</v>
      </c>
    </row>
    <row r="273" spans="1:5" x14ac:dyDescent="0.2">
      <c r="A273" s="2" t="s">
        <v>832</v>
      </c>
      <c r="B273">
        <v>5</v>
      </c>
      <c r="E273">
        <v>5</v>
      </c>
    </row>
    <row r="274" spans="1:5" x14ac:dyDescent="0.2">
      <c r="A274" s="2" t="s">
        <v>1853</v>
      </c>
      <c r="B274">
        <v>1</v>
      </c>
      <c r="E274">
        <v>1</v>
      </c>
    </row>
    <row r="275" spans="1:5" x14ac:dyDescent="0.2">
      <c r="A275" s="2" t="s">
        <v>1375</v>
      </c>
      <c r="B275">
        <v>2</v>
      </c>
      <c r="E275">
        <v>2</v>
      </c>
    </row>
    <row r="276" spans="1:5" x14ac:dyDescent="0.2">
      <c r="A276" s="2" t="s">
        <v>1733</v>
      </c>
      <c r="B276">
        <v>1</v>
      </c>
      <c r="E276">
        <v>1</v>
      </c>
    </row>
    <row r="277" spans="1:5" x14ac:dyDescent="0.2">
      <c r="A277" s="2" t="s">
        <v>94</v>
      </c>
      <c r="C277">
        <v>1</v>
      </c>
      <c r="E277">
        <v>1</v>
      </c>
    </row>
    <row r="278" spans="1:5" x14ac:dyDescent="0.2">
      <c r="A278" s="2" t="s">
        <v>1675</v>
      </c>
      <c r="B278">
        <v>1</v>
      </c>
      <c r="E278">
        <v>1</v>
      </c>
    </row>
    <row r="279" spans="1:5" x14ac:dyDescent="0.2">
      <c r="A279" s="2" t="s">
        <v>600</v>
      </c>
      <c r="B279">
        <v>3</v>
      </c>
      <c r="E279">
        <v>3</v>
      </c>
    </row>
    <row r="280" spans="1:5" x14ac:dyDescent="0.2">
      <c r="A280" s="2" t="s">
        <v>917</v>
      </c>
      <c r="B280">
        <v>1</v>
      </c>
      <c r="E280">
        <v>1</v>
      </c>
    </row>
    <row r="281" spans="1:5" x14ac:dyDescent="0.2">
      <c r="A281" s="2" t="s">
        <v>1692</v>
      </c>
      <c r="B281">
        <v>1</v>
      </c>
      <c r="E281">
        <v>1</v>
      </c>
    </row>
    <row r="282" spans="1:5" x14ac:dyDescent="0.2">
      <c r="A282" s="2" t="s">
        <v>427</v>
      </c>
      <c r="B282">
        <v>1</v>
      </c>
      <c r="E282">
        <v>1</v>
      </c>
    </row>
    <row r="283" spans="1:5" x14ac:dyDescent="0.2">
      <c r="A283" s="2" t="s">
        <v>759</v>
      </c>
      <c r="B283">
        <v>1</v>
      </c>
      <c r="E283">
        <v>1</v>
      </c>
    </row>
    <row r="284" spans="1:5" x14ac:dyDescent="0.2">
      <c r="A284" s="2" t="s">
        <v>397</v>
      </c>
      <c r="C284">
        <v>5</v>
      </c>
      <c r="E284">
        <v>5</v>
      </c>
    </row>
    <row r="285" spans="1:5" x14ac:dyDescent="0.2">
      <c r="A285" s="2" t="s">
        <v>1293</v>
      </c>
      <c r="C285">
        <v>1</v>
      </c>
      <c r="E285">
        <v>1</v>
      </c>
    </row>
    <row r="286" spans="1:5" x14ac:dyDescent="0.2">
      <c r="A286" s="2" t="s">
        <v>1629</v>
      </c>
      <c r="B286">
        <v>2</v>
      </c>
      <c r="E286">
        <v>2</v>
      </c>
    </row>
    <row r="287" spans="1:5" x14ac:dyDescent="0.2">
      <c r="A287" s="2" t="s">
        <v>1579</v>
      </c>
      <c r="B287">
        <v>1</v>
      </c>
      <c r="E287">
        <v>1</v>
      </c>
    </row>
    <row r="288" spans="1:5" x14ac:dyDescent="0.2">
      <c r="A288" s="2" t="s">
        <v>1638</v>
      </c>
      <c r="B288">
        <v>1</v>
      </c>
      <c r="E288">
        <v>1</v>
      </c>
    </row>
    <row r="289" spans="1:5" x14ac:dyDescent="0.2">
      <c r="A289" s="2" t="s">
        <v>830</v>
      </c>
      <c r="B289">
        <v>2</v>
      </c>
      <c r="E289">
        <v>2</v>
      </c>
    </row>
    <row r="290" spans="1:5" x14ac:dyDescent="0.2">
      <c r="A290" s="2" t="s">
        <v>810</v>
      </c>
      <c r="B290">
        <v>2</v>
      </c>
      <c r="E290">
        <v>2</v>
      </c>
    </row>
    <row r="291" spans="1:5" x14ac:dyDescent="0.2">
      <c r="A291" s="2" t="s">
        <v>672</v>
      </c>
      <c r="B291">
        <v>1</v>
      </c>
      <c r="E291">
        <v>1</v>
      </c>
    </row>
    <row r="292" spans="1:5" x14ac:dyDescent="0.2">
      <c r="A292" s="2" t="s">
        <v>102</v>
      </c>
      <c r="B292">
        <v>1</v>
      </c>
      <c r="E292">
        <v>1</v>
      </c>
    </row>
    <row r="293" spans="1:5" x14ac:dyDescent="0.2">
      <c r="A293" s="2" t="s">
        <v>253</v>
      </c>
      <c r="B293">
        <v>1</v>
      </c>
      <c r="E293">
        <v>1</v>
      </c>
    </row>
    <row r="294" spans="1:5" x14ac:dyDescent="0.2">
      <c r="A294" s="2" t="s">
        <v>139</v>
      </c>
      <c r="B294">
        <v>6</v>
      </c>
      <c r="E294">
        <v>6</v>
      </c>
    </row>
    <row r="295" spans="1:5" x14ac:dyDescent="0.2">
      <c r="A295" s="2" t="s">
        <v>137</v>
      </c>
      <c r="B295">
        <v>10</v>
      </c>
      <c r="E295">
        <v>10</v>
      </c>
    </row>
    <row r="296" spans="1:5" x14ac:dyDescent="0.2">
      <c r="A296" s="2" t="s">
        <v>1530</v>
      </c>
      <c r="B296">
        <v>2</v>
      </c>
      <c r="E296">
        <v>2</v>
      </c>
    </row>
    <row r="297" spans="1:5" x14ac:dyDescent="0.2">
      <c r="A297" s="2" t="s">
        <v>76</v>
      </c>
      <c r="B297">
        <v>1</v>
      </c>
      <c r="E297">
        <v>1</v>
      </c>
    </row>
    <row r="298" spans="1:5" x14ac:dyDescent="0.2">
      <c r="A298" s="2" t="s">
        <v>732</v>
      </c>
      <c r="B298">
        <v>2</v>
      </c>
      <c r="E298">
        <v>2</v>
      </c>
    </row>
    <row r="299" spans="1:5" x14ac:dyDescent="0.2">
      <c r="A299" s="2" t="s">
        <v>299</v>
      </c>
      <c r="B299">
        <v>1</v>
      </c>
      <c r="E299">
        <v>1</v>
      </c>
    </row>
    <row r="300" spans="1:5" x14ac:dyDescent="0.2">
      <c r="A300" s="2" t="s">
        <v>193</v>
      </c>
      <c r="B300">
        <v>2</v>
      </c>
      <c r="E300">
        <v>2</v>
      </c>
    </row>
    <row r="301" spans="1:5" x14ac:dyDescent="0.2">
      <c r="A301" s="2" t="s">
        <v>1443</v>
      </c>
      <c r="B301">
        <v>1</v>
      </c>
      <c r="E301">
        <v>1</v>
      </c>
    </row>
    <row r="302" spans="1:5" x14ac:dyDescent="0.2">
      <c r="A302" s="2" t="s">
        <v>1172</v>
      </c>
      <c r="B302">
        <v>3</v>
      </c>
      <c r="E302">
        <v>3</v>
      </c>
    </row>
    <row r="303" spans="1:5" x14ac:dyDescent="0.2">
      <c r="A303" s="2" t="s">
        <v>1632</v>
      </c>
      <c r="B303">
        <v>1</v>
      </c>
      <c r="E303">
        <v>1</v>
      </c>
    </row>
    <row r="304" spans="1:5" x14ac:dyDescent="0.2">
      <c r="A304" s="2" t="s">
        <v>1983</v>
      </c>
      <c r="B304">
        <v>1</v>
      </c>
      <c r="E304">
        <v>1</v>
      </c>
    </row>
    <row r="305" spans="1:5" x14ac:dyDescent="0.2">
      <c r="A305" s="2" t="s">
        <v>1305</v>
      </c>
      <c r="B305">
        <v>3</v>
      </c>
      <c r="E305">
        <v>3</v>
      </c>
    </row>
    <row r="306" spans="1:5" x14ac:dyDescent="0.2">
      <c r="A306" s="2" t="s">
        <v>553</v>
      </c>
      <c r="B306">
        <v>5</v>
      </c>
      <c r="E306">
        <v>5</v>
      </c>
    </row>
    <row r="307" spans="1:5" x14ac:dyDescent="0.2">
      <c r="A307" s="2" t="s">
        <v>983</v>
      </c>
      <c r="B307">
        <v>4</v>
      </c>
      <c r="E307">
        <v>4</v>
      </c>
    </row>
    <row r="308" spans="1:5" x14ac:dyDescent="0.2">
      <c r="A308" s="2" t="s">
        <v>1248</v>
      </c>
      <c r="B308">
        <v>1</v>
      </c>
      <c r="E308">
        <v>1</v>
      </c>
    </row>
    <row r="309" spans="1:5" x14ac:dyDescent="0.2">
      <c r="A309" s="2" t="s">
        <v>1757</v>
      </c>
      <c r="B309">
        <v>1</v>
      </c>
      <c r="E309">
        <v>1</v>
      </c>
    </row>
    <row r="310" spans="1:5" x14ac:dyDescent="0.2">
      <c r="A310" s="2" t="s">
        <v>1993</v>
      </c>
      <c r="B310">
        <v>1</v>
      </c>
      <c r="E310">
        <v>1</v>
      </c>
    </row>
    <row r="311" spans="1:5" x14ac:dyDescent="0.2">
      <c r="A311" s="2" t="s">
        <v>1843</v>
      </c>
      <c r="B311">
        <v>1</v>
      </c>
      <c r="E311">
        <v>1</v>
      </c>
    </row>
    <row r="312" spans="1:5" x14ac:dyDescent="0.2">
      <c r="A312" s="2" t="s">
        <v>1784</v>
      </c>
      <c r="C312">
        <v>1</v>
      </c>
      <c r="E312">
        <v>1</v>
      </c>
    </row>
    <row r="313" spans="1:5" x14ac:dyDescent="0.2">
      <c r="A313" s="2" t="s">
        <v>702</v>
      </c>
      <c r="B313">
        <v>1</v>
      </c>
      <c r="E313">
        <v>1</v>
      </c>
    </row>
    <row r="314" spans="1:5" x14ac:dyDescent="0.2">
      <c r="A314" s="2" t="s">
        <v>1903</v>
      </c>
      <c r="C314">
        <v>1</v>
      </c>
      <c r="E314">
        <v>1</v>
      </c>
    </row>
    <row r="315" spans="1:5" x14ac:dyDescent="0.2">
      <c r="A315" s="2" t="s">
        <v>410</v>
      </c>
      <c r="C315">
        <v>6</v>
      </c>
      <c r="E315">
        <v>6</v>
      </c>
    </row>
    <row r="316" spans="1:5" x14ac:dyDescent="0.2">
      <c r="A316" s="2" t="s">
        <v>556</v>
      </c>
      <c r="B316">
        <v>1</v>
      </c>
      <c r="E316">
        <v>1</v>
      </c>
    </row>
    <row r="317" spans="1:5" x14ac:dyDescent="0.2">
      <c r="A317" s="2" t="s">
        <v>295</v>
      </c>
      <c r="B317">
        <v>2</v>
      </c>
      <c r="E317">
        <v>2</v>
      </c>
    </row>
    <row r="318" spans="1:5" x14ac:dyDescent="0.2">
      <c r="A318" s="2" t="s">
        <v>1184</v>
      </c>
      <c r="B318">
        <v>1</v>
      </c>
      <c r="E318">
        <v>1</v>
      </c>
    </row>
    <row r="319" spans="1:5" x14ac:dyDescent="0.2">
      <c r="A319" s="2" t="s">
        <v>1879</v>
      </c>
      <c r="C319">
        <v>1</v>
      </c>
      <c r="E319">
        <v>1</v>
      </c>
    </row>
    <row r="320" spans="1:5" x14ac:dyDescent="0.2">
      <c r="A320" s="2" t="s">
        <v>109</v>
      </c>
      <c r="B320">
        <v>2</v>
      </c>
      <c r="E320">
        <v>2</v>
      </c>
    </row>
    <row r="321" spans="1:5" x14ac:dyDescent="0.2">
      <c r="A321" s="2" t="s">
        <v>1308</v>
      </c>
      <c r="B321">
        <v>1</v>
      </c>
      <c r="E321">
        <v>1</v>
      </c>
    </row>
    <row r="322" spans="1:5" x14ac:dyDescent="0.2">
      <c r="A322" s="2" t="s">
        <v>965</v>
      </c>
      <c r="B322">
        <v>1</v>
      </c>
      <c r="E322">
        <v>1</v>
      </c>
    </row>
    <row r="323" spans="1:5" x14ac:dyDescent="0.2">
      <c r="A323" s="2" t="s">
        <v>1885</v>
      </c>
      <c r="B323">
        <v>2</v>
      </c>
      <c r="E323">
        <v>2</v>
      </c>
    </row>
    <row r="324" spans="1:5" x14ac:dyDescent="0.2">
      <c r="A324" s="2" t="s">
        <v>1540</v>
      </c>
      <c r="B324">
        <v>1</v>
      </c>
      <c r="E324">
        <v>1</v>
      </c>
    </row>
    <row r="325" spans="1:5" x14ac:dyDescent="0.2">
      <c r="A325" s="2" t="s">
        <v>1884</v>
      </c>
      <c r="B325">
        <v>1</v>
      </c>
      <c r="E325">
        <v>1</v>
      </c>
    </row>
    <row r="326" spans="1:5" x14ac:dyDescent="0.2">
      <c r="A326" s="2" t="s">
        <v>1301</v>
      </c>
      <c r="B326">
        <v>2</v>
      </c>
      <c r="E326">
        <v>2</v>
      </c>
    </row>
    <row r="327" spans="1:5" x14ac:dyDescent="0.2">
      <c r="A327" s="2" t="s">
        <v>1325</v>
      </c>
      <c r="B327">
        <v>1</v>
      </c>
      <c r="E327">
        <v>1</v>
      </c>
    </row>
    <row r="328" spans="1:5" x14ac:dyDescent="0.2">
      <c r="A328" s="2" t="s">
        <v>922</v>
      </c>
      <c r="B328">
        <v>1</v>
      </c>
      <c r="E328">
        <v>1</v>
      </c>
    </row>
    <row r="329" spans="1:5" x14ac:dyDescent="0.2">
      <c r="A329" s="2" t="s">
        <v>1794</v>
      </c>
      <c r="B329">
        <v>1</v>
      </c>
      <c r="E329">
        <v>1</v>
      </c>
    </row>
    <row r="330" spans="1:5" x14ac:dyDescent="0.2">
      <c r="A330" s="2" t="s">
        <v>28</v>
      </c>
      <c r="B330">
        <v>1</v>
      </c>
      <c r="E330">
        <v>1</v>
      </c>
    </row>
    <row r="331" spans="1:5" x14ac:dyDescent="0.2">
      <c r="A331" s="2" t="s">
        <v>1723</v>
      </c>
      <c r="B331">
        <v>1</v>
      </c>
      <c r="E331">
        <v>1</v>
      </c>
    </row>
    <row r="332" spans="1:5" x14ac:dyDescent="0.2">
      <c r="A332" s="2" t="s">
        <v>1020</v>
      </c>
      <c r="B332">
        <v>1</v>
      </c>
      <c r="E332">
        <v>1</v>
      </c>
    </row>
    <row r="333" spans="1:5" x14ac:dyDescent="0.2">
      <c r="A333" s="2" t="s">
        <v>1426</v>
      </c>
      <c r="B333">
        <v>1</v>
      </c>
      <c r="E333">
        <v>1</v>
      </c>
    </row>
    <row r="334" spans="1:5" x14ac:dyDescent="0.2">
      <c r="A334" s="2" t="s">
        <v>451</v>
      </c>
      <c r="B334">
        <v>1</v>
      </c>
      <c r="E334">
        <v>1</v>
      </c>
    </row>
    <row r="335" spans="1:5" x14ac:dyDescent="0.2">
      <c r="A335" s="2" t="s">
        <v>714</v>
      </c>
      <c r="B335">
        <v>1</v>
      </c>
      <c r="E335">
        <v>1</v>
      </c>
    </row>
    <row r="336" spans="1:5" x14ac:dyDescent="0.2">
      <c r="A336" s="2" t="s">
        <v>1195</v>
      </c>
      <c r="C336">
        <v>1</v>
      </c>
      <c r="E336">
        <v>1</v>
      </c>
    </row>
    <row r="337" spans="1:5" x14ac:dyDescent="0.2">
      <c r="A337" s="2" t="s">
        <v>1945</v>
      </c>
      <c r="B337">
        <v>2</v>
      </c>
      <c r="E337">
        <v>2</v>
      </c>
    </row>
    <row r="338" spans="1:5" x14ac:dyDescent="0.2">
      <c r="A338" s="2" t="s">
        <v>1787</v>
      </c>
      <c r="B338">
        <v>1</v>
      </c>
      <c r="E338">
        <v>1</v>
      </c>
    </row>
    <row r="339" spans="1:5" x14ac:dyDescent="0.2">
      <c r="A339" s="2" t="s">
        <v>1717</v>
      </c>
      <c r="B339">
        <v>1</v>
      </c>
      <c r="E339">
        <v>1</v>
      </c>
    </row>
    <row r="340" spans="1:5" x14ac:dyDescent="0.2">
      <c r="A340" s="2" t="s">
        <v>1634</v>
      </c>
    </row>
    <row r="341" spans="1:5" x14ac:dyDescent="0.2">
      <c r="A341" s="2" t="s">
        <v>330</v>
      </c>
      <c r="B341">
        <v>4</v>
      </c>
      <c r="E341">
        <v>4</v>
      </c>
    </row>
    <row r="342" spans="1:5" x14ac:dyDescent="0.2">
      <c r="A342" s="2" t="s">
        <v>1511</v>
      </c>
      <c r="B342">
        <v>1</v>
      </c>
      <c r="E342">
        <v>1</v>
      </c>
    </row>
    <row r="343" spans="1:5" x14ac:dyDescent="0.2">
      <c r="A343" s="2" t="s">
        <v>317</v>
      </c>
      <c r="B343">
        <v>1</v>
      </c>
      <c r="E343">
        <v>1</v>
      </c>
    </row>
    <row r="344" spans="1:5" x14ac:dyDescent="0.2">
      <c r="A344" s="2" t="s">
        <v>1553</v>
      </c>
      <c r="B344">
        <v>3</v>
      </c>
      <c r="E344">
        <v>3</v>
      </c>
    </row>
    <row r="345" spans="1:5" x14ac:dyDescent="0.2">
      <c r="A345" s="2" t="s">
        <v>681</v>
      </c>
      <c r="B345">
        <v>5</v>
      </c>
      <c r="E345">
        <v>5</v>
      </c>
    </row>
    <row r="346" spans="1:5" x14ac:dyDescent="0.2">
      <c r="A346" s="2" t="s">
        <v>1584</v>
      </c>
      <c r="B346">
        <v>1</v>
      </c>
      <c r="E346">
        <v>1</v>
      </c>
    </row>
    <row r="347" spans="1:5" x14ac:dyDescent="0.2">
      <c r="A347" s="2" t="s">
        <v>636</v>
      </c>
      <c r="B347">
        <v>1</v>
      </c>
      <c r="E347">
        <v>1</v>
      </c>
    </row>
    <row r="348" spans="1:5" x14ac:dyDescent="0.2">
      <c r="A348" s="2" t="s">
        <v>1500</v>
      </c>
      <c r="B348">
        <v>1</v>
      </c>
      <c r="E348">
        <v>1</v>
      </c>
    </row>
    <row r="349" spans="1:5" x14ac:dyDescent="0.2">
      <c r="A349" s="2" t="s">
        <v>904</v>
      </c>
      <c r="B349">
        <v>2</v>
      </c>
      <c r="E349">
        <v>2</v>
      </c>
    </row>
    <row r="350" spans="1:5" x14ac:dyDescent="0.2">
      <c r="A350" s="2" t="s">
        <v>1777</v>
      </c>
      <c r="B350">
        <v>2</v>
      </c>
      <c r="E350">
        <v>2</v>
      </c>
    </row>
    <row r="351" spans="1:5" x14ac:dyDescent="0.2">
      <c r="A351" s="2" t="s">
        <v>1115</v>
      </c>
      <c r="B351">
        <v>1</v>
      </c>
      <c r="E351">
        <v>1</v>
      </c>
    </row>
    <row r="352" spans="1:5" x14ac:dyDescent="0.2">
      <c r="A352" s="2" t="s">
        <v>1465</v>
      </c>
      <c r="B352">
        <v>1</v>
      </c>
      <c r="E352">
        <v>1</v>
      </c>
    </row>
    <row r="353" spans="1:5" x14ac:dyDescent="0.2">
      <c r="A353" s="2" t="s">
        <v>1796</v>
      </c>
      <c r="B353">
        <v>1</v>
      </c>
      <c r="E353">
        <v>1</v>
      </c>
    </row>
    <row r="354" spans="1:5" x14ac:dyDescent="0.2">
      <c r="A354" s="2" t="s">
        <v>540</v>
      </c>
      <c r="B354">
        <v>1</v>
      </c>
      <c r="E354">
        <v>1</v>
      </c>
    </row>
    <row r="355" spans="1:5" x14ac:dyDescent="0.2">
      <c r="A355" s="2" t="s">
        <v>1467</v>
      </c>
      <c r="B355">
        <v>1</v>
      </c>
      <c r="E355">
        <v>1</v>
      </c>
    </row>
    <row r="356" spans="1:5" x14ac:dyDescent="0.2">
      <c r="A356" s="2" t="s">
        <v>879</v>
      </c>
      <c r="B356">
        <v>1</v>
      </c>
      <c r="E356">
        <v>1</v>
      </c>
    </row>
    <row r="357" spans="1:5" x14ac:dyDescent="0.2">
      <c r="A357" s="2" t="s">
        <v>116</v>
      </c>
      <c r="B357">
        <v>3</v>
      </c>
      <c r="E357">
        <v>3</v>
      </c>
    </row>
    <row r="358" spans="1:5" x14ac:dyDescent="0.2">
      <c r="A358" s="2" t="s">
        <v>285</v>
      </c>
      <c r="B358">
        <v>2</v>
      </c>
      <c r="E358">
        <v>2</v>
      </c>
    </row>
    <row r="359" spans="1:5" x14ac:dyDescent="0.2">
      <c r="A359" s="2" t="s">
        <v>278</v>
      </c>
      <c r="B359">
        <v>1</v>
      </c>
      <c r="E359">
        <v>1</v>
      </c>
    </row>
    <row r="360" spans="1:5" x14ac:dyDescent="0.2">
      <c r="A360" s="2" t="s">
        <v>938</v>
      </c>
      <c r="B360">
        <v>1</v>
      </c>
      <c r="E360">
        <v>1</v>
      </c>
    </row>
    <row r="361" spans="1:5" x14ac:dyDescent="0.2">
      <c r="A361" s="2" t="s">
        <v>591</v>
      </c>
      <c r="B361">
        <v>2</v>
      </c>
      <c r="E361">
        <v>2</v>
      </c>
    </row>
    <row r="362" spans="1:5" x14ac:dyDescent="0.2">
      <c r="A362" s="2" t="s">
        <v>1951</v>
      </c>
      <c r="B362">
        <v>1</v>
      </c>
      <c r="E362">
        <v>1</v>
      </c>
    </row>
    <row r="363" spans="1:5" x14ac:dyDescent="0.2">
      <c r="A363" s="2" t="s">
        <v>1117</v>
      </c>
      <c r="B363">
        <v>1</v>
      </c>
      <c r="E363">
        <v>1</v>
      </c>
    </row>
    <row r="364" spans="1:5" x14ac:dyDescent="0.2">
      <c r="A364" s="2" t="s">
        <v>1355</v>
      </c>
      <c r="B364">
        <v>1</v>
      </c>
      <c r="E364">
        <v>1</v>
      </c>
    </row>
    <row r="365" spans="1:5" x14ac:dyDescent="0.2">
      <c r="A365" s="2" t="s">
        <v>1513</v>
      </c>
      <c r="B365">
        <v>1</v>
      </c>
      <c r="E365">
        <v>1</v>
      </c>
    </row>
    <row r="366" spans="1:5" x14ac:dyDescent="0.2">
      <c r="A366" s="2" t="s">
        <v>979</v>
      </c>
      <c r="B366">
        <v>1</v>
      </c>
      <c r="E366">
        <v>1</v>
      </c>
    </row>
    <row r="367" spans="1:5" x14ac:dyDescent="0.2">
      <c r="A367" s="2" t="s">
        <v>621</v>
      </c>
      <c r="B367">
        <v>1</v>
      </c>
      <c r="E367">
        <v>1</v>
      </c>
    </row>
    <row r="368" spans="1:5" x14ac:dyDescent="0.2">
      <c r="A368" s="2" t="s">
        <v>171</v>
      </c>
      <c r="B368">
        <v>4</v>
      </c>
      <c r="E368">
        <v>4</v>
      </c>
    </row>
    <row r="369" spans="1:5" x14ac:dyDescent="0.2">
      <c r="A369" s="2" t="s">
        <v>861</v>
      </c>
      <c r="B369">
        <v>2</v>
      </c>
      <c r="E369">
        <v>2</v>
      </c>
    </row>
    <row r="370" spans="1:5" x14ac:dyDescent="0.2">
      <c r="A370" s="2" t="s">
        <v>1747</v>
      </c>
      <c r="B370">
        <v>1</v>
      </c>
      <c r="E370">
        <v>1</v>
      </c>
    </row>
    <row r="371" spans="1:5" x14ac:dyDescent="0.2">
      <c r="A371" s="2" t="s">
        <v>625</v>
      </c>
      <c r="B371">
        <v>1</v>
      </c>
      <c r="E371">
        <v>1</v>
      </c>
    </row>
    <row r="372" spans="1:5" x14ac:dyDescent="0.2">
      <c r="A372" s="2" t="s">
        <v>1062</v>
      </c>
      <c r="B372">
        <v>1</v>
      </c>
      <c r="E372">
        <v>1</v>
      </c>
    </row>
    <row r="373" spans="1:5" x14ac:dyDescent="0.2">
      <c r="A373" s="2" t="s">
        <v>872</v>
      </c>
      <c r="B373">
        <v>1</v>
      </c>
      <c r="E373">
        <v>1</v>
      </c>
    </row>
    <row r="374" spans="1:5" x14ac:dyDescent="0.2">
      <c r="A374" s="2" t="s">
        <v>995</v>
      </c>
      <c r="B374">
        <v>1</v>
      </c>
      <c r="E374">
        <v>1</v>
      </c>
    </row>
    <row r="375" spans="1:5" x14ac:dyDescent="0.2">
      <c r="A375" s="2" t="s">
        <v>1353</v>
      </c>
      <c r="B375">
        <v>1</v>
      </c>
      <c r="E375">
        <v>1</v>
      </c>
    </row>
    <row r="376" spans="1:5" x14ac:dyDescent="0.2">
      <c r="A376" s="2" t="s">
        <v>1165</v>
      </c>
      <c r="C376">
        <v>2</v>
      </c>
      <c r="E376">
        <v>2</v>
      </c>
    </row>
    <row r="377" spans="1:5" x14ac:dyDescent="0.2">
      <c r="A377" s="2" t="s">
        <v>1124</v>
      </c>
      <c r="B377">
        <v>1</v>
      </c>
      <c r="E377">
        <v>1</v>
      </c>
    </row>
    <row r="378" spans="1:5" x14ac:dyDescent="0.2">
      <c r="A378" s="2" t="s">
        <v>1608</v>
      </c>
      <c r="B378">
        <v>1</v>
      </c>
      <c r="E378">
        <v>1</v>
      </c>
    </row>
    <row r="379" spans="1:5" x14ac:dyDescent="0.2">
      <c r="A379" s="2" t="s">
        <v>1091</v>
      </c>
      <c r="B379">
        <v>1</v>
      </c>
      <c r="E379">
        <v>1</v>
      </c>
    </row>
    <row r="380" spans="1:5" x14ac:dyDescent="0.2">
      <c r="A380" s="2" t="s">
        <v>1670</v>
      </c>
      <c r="B380">
        <v>2</v>
      </c>
      <c r="E380">
        <v>2</v>
      </c>
    </row>
    <row r="381" spans="1:5" x14ac:dyDescent="0.2">
      <c r="A381" s="2" t="s">
        <v>791</v>
      </c>
      <c r="B381">
        <v>1</v>
      </c>
      <c r="E381">
        <v>1</v>
      </c>
    </row>
    <row r="382" spans="1:5" x14ac:dyDescent="0.2">
      <c r="A382" s="2" t="s">
        <v>957</v>
      </c>
      <c r="B382">
        <v>1</v>
      </c>
      <c r="E382">
        <v>1</v>
      </c>
    </row>
    <row r="383" spans="1:5" x14ac:dyDescent="0.2">
      <c r="A383" s="2" t="s">
        <v>211</v>
      </c>
      <c r="B383">
        <v>1</v>
      </c>
      <c r="E383">
        <v>1</v>
      </c>
    </row>
    <row r="384" spans="1:5" x14ac:dyDescent="0.2">
      <c r="A384" s="2" t="s">
        <v>1311</v>
      </c>
      <c r="B384">
        <v>1</v>
      </c>
      <c r="E384">
        <v>1</v>
      </c>
    </row>
    <row r="385" spans="1:5" x14ac:dyDescent="0.2">
      <c r="A385" s="2" t="s">
        <v>1168</v>
      </c>
      <c r="B385">
        <v>2</v>
      </c>
      <c r="E385">
        <v>2</v>
      </c>
    </row>
    <row r="386" spans="1:5" x14ac:dyDescent="0.2">
      <c r="A386" s="2" t="s">
        <v>774</v>
      </c>
      <c r="B386">
        <v>1</v>
      </c>
      <c r="E386">
        <v>1</v>
      </c>
    </row>
    <row r="387" spans="1:5" x14ac:dyDescent="0.2">
      <c r="A387" s="2" t="s">
        <v>628</v>
      </c>
      <c r="B387">
        <v>1</v>
      </c>
      <c r="E387">
        <v>1</v>
      </c>
    </row>
    <row r="388" spans="1:5" x14ac:dyDescent="0.2">
      <c r="A388" s="2" t="s">
        <v>656</v>
      </c>
      <c r="B388">
        <v>2</v>
      </c>
      <c r="E388">
        <v>2</v>
      </c>
    </row>
    <row r="389" spans="1:5" x14ac:dyDescent="0.2">
      <c r="A389" s="2" t="s">
        <v>1042</v>
      </c>
      <c r="B389">
        <v>1</v>
      </c>
      <c r="E389">
        <v>1</v>
      </c>
    </row>
    <row r="390" spans="1:5" x14ac:dyDescent="0.2">
      <c r="A390" s="2" t="s">
        <v>1008</v>
      </c>
      <c r="C390">
        <v>1</v>
      </c>
      <c r="E390">
        <v>1</v>
      </c>
    </row>
    <row r="391" spans="1:5" x14ac:dyDescent="0.2">
      <c r="A391" s="2" t="s">
        <v>15</v>
      </c>
      <c r="B391">
        <v>2</v>
      </c>
      <c r="E391">
        <v>2</v>
      </c>
    </row>
    <row r="392" spans="1:5" x14ac:dyDescent="0.2">
      <c r="A392" s="2" t="s">
        <v>187</v>
      </c>
      <c r="C392">
        <v>5</v>
      </c>
      <c r="E392">
        <v>5</v>
      </c>
    </row>
    <row r="393" spans="1:5" x14ac:dyDescent="0.2">
      <c r="A393" s="2" t="s">
        <v>245</v>
      </c>
      <c r="B393">
        <v>4</v>
      </c>
      <c r="E393">
        <v>4</v>
      </c>
    </row>
    <row r="394" spans="1:5" x14ac:dyDescent="0.2">
      <c r="A394" s="2" t="s">
        <v>1713</v>
      </c>
      <c r="B394">
        <v>1</v>
      </c>
      <c r="E394">
        <v>1</v>
      </c>
    </row>
    <row r="395" spans="1:5" x14ac:dyDescent="0.2">
      <c r="A395" s="2" t="s">
        <v>292</v>
      </c>
      <c r="B395">
        <v>7</v>
      </c>
      <c r="E395">
        <v>7</v>
      </c>
    </row>
    <row r="396" spans="1:5" x14ac:dyDescent="0.2">
      <c r="A396" s="2" t="s">
        <v>391</v>
      </c>
      <c r="B396">
        <v>7</v>
      </c>
      <c r="E396">
        <v>7</v>
      </c>
    </row>
    <row r="397" spans="1:5" x14ac:dyDescent="0.2">
      <c r="A397" s="2" t="s">
        <v>484</v>
      </c>
      <c r="B397">
        <v>1</v>
      </c>
      <c r="E397">
        <v>1</v>
      </c>
    </row>
    <row r="398" spans="1:5" x14ac:dyDescent="0.2">
      <c r="A398" s="2" t="s">
        <v>1317</v>
      </c>
      <c r="B398">
        <v>1</v>
      </c>
      <c r="E398">
        <v>1</v>
      </c>
    </row>
    <row r="399" spans="1:5" x14ac:dyDescent="0.2">
      <c r="A399" s="2" t="s">
        <v>35</v>
      </c>
    </row>
    <row r="400" spans="1:5" x14ac:dyDescent="0.2">
      <c r="A400" s="2" t="s">
        <v>1494</v>
      </c>
      <c r="B400">
        <v>1</v>
      </c>
      <c r="E400">
        <v>1</v>
      </c>
    </row>
    <row r="401" spans="1:5" x14ac:dyDescent="0.2">
      <c r="A401" s="2" t="s">
        <v>740</v>
      </c>
      <c r="B401">
        <v>1</v>
      </c>
      <c r="E401">
        <v>1</v>
      </c>
    </row>
    <row r="402" spans="1:5" x14ac:dyDescent="0.2">
      <c r="A402" s="2" t="s">
        <v>1741</v>
      </c>
      <c r="B402">
        <v>2</v>
      </c>
      <c r="E402">
        <v>2</v>
      </c>
    </row>
    <row r="403" spans="1:5" x14ac:dyDescent="0.2">
      <c r="A403" s="2" t="s">
        <v>1701</v>
      </c>
      <c r="B403">
        <v>1</v>
      </c>
      <c r="E403">
        <v>1</v>
      </c>
    </row>
    <row r="404" spans="1:5" x14ac:dyDescent="0.2">
      <c r="A404" s="2" t="s">
        <v>61</v>
      </c>
      <c r="C404">
        <v>11</v>
      </c>
      <c r="E404">
        <v>11</v>
      </c>
    </row>
    <row r="405" spans="1:5" x14ac:dyDescent="0.2">
      <c r="A405" s="2" t="s">
        <v>335</v>
      </c>
      <c r="B405">
        <v>4</v>
      </c>
      <c r="E405">
        <v>4</v>
      </c>
    </row>
    <row r="406" spans="1:5" x14ac:dyDescent="0.2">
      <c r="A406" s="2" t="s">
        <v>65</v>
      </c>
      <c r="B406">
        <v>1</v>
      </c>
      <c r="E406">
        <v>1</v>
      </c>
    </row>
    <row r="407" spans="1:5" x14ac:dyDescent="0.2">
      <c r="A407" s="2" t="s">
        <v>38</v>
      </c>
      <c r="B407">
        <v>10</v>
      </c>
      <c r="E407">
        <v>10</v>
      </c>
    </row>
    <row r="408" spans="1:5" x14ac:dyDescent="0.2">
      <c r="A408" s="2" t="s">
        <v>150</v>
      </c>
      <c r="B408">
        <v>8</v>
      </c>
      <c r="E408">
        <v>8</v>
      </c>
    </row>
    <row r="409" spans="1:5" x14ac:dyDescent="0.2">
      <c r="A409" s="2" t="s">
        <v>180</v>
      </c>
      <c r="B409">
        <v>3</v>
      </c>
      <c r="E409">
        <v>3</v>
      </c>
    </row>
    <row r="410" spans="1:5" x14ac:dyDescent="0.2">
      <c r="A410" s="2" t="s">
        <v>179</v>
      </c>
      <c r="B410">
        <v>2</v>
      </c>
      <c r="E410">
        <v>2</v>
      </c>
    </row>
    <row r="411" spans="1:5" x14ac:dyDescent="0.2">
      <c r="A411" s="2" t="s">
        <v>433</v>
      </c>
      <c r="B411">
        <v>1</v>
      </c>
      <c r="E411">
        <v>1</v>
      </c>
    </row>
    <row r="412" spans="1:5" x14ac:dyDescent="0.2">
      <c r="A412" s="2" t="s">
        <v>1818</v>
      </c>
      <c r="B412">
        <v>1</v>
      </c>
      <c r="C412">
        <v>1</v>
      </c>
      <c r="E412">
        <v>2</v>
      </c>
    </row>
    <row r="413" spans="1:5" x14ac:dyDescent="0.2">
      <c r="A413" s="2" t="s">
        <v>1929</v>
      </c>
      <c r="B413">
        <v>1</v>
      </c>
      <c r="E413">
        <v>1</v>
      </c>
    </row>
    <row r="414" spans="1:5" x14ac:dyDescent="0.2">
      <c r="A414" s="2" t="s">
        <v>491</v>
      </c>
      <c r="B414">
        <v>1</v>
      </c>
      <c r="E414">
        <v>1</v>
      </c>
    </row>
    <row r="415" spans="1:5" x14ac:dyDescent="0.2">
      <c r="A415" s="2" t="s">
        <v>1681</v>
      </c>
      <c r="B415">
        <v>2</v>
      </c>
      <c r="E415">
        <v>2</v>
      </c>
    </row>
    <row r="416" spans="1:5" x14ac:dyDescent="0.2">
      <c r="A416" s="2" t="s">
        <v>694</v>
      </c>
      <c r="B416">
        <v>1</v>
      </c>
      <c r="E416">
        <v>1</v>
      </c>
    </row>
    <row r="417" spans="1:5" x14ac:dyDescent="0.2">
      <c r="A417" s="2" t="s">
        <v>549</v>
      </c>
      <c r="B417">
        <v>1</v>
      </c>
      <c r="E417">
        <v>1</v>
      </c>
    </row>
    <row r="418" spans="1:5" x14ac:dyDescent="0.2">
      <c r="A418" s="2" t="s">
        <v>341</v>
      </c>
      <c r="B418">
        <v>2</v>
      </c>
      <c r="E418">
        <v>2</v>
      </c>
    </row>
    <row r="419" spans="1:5" x14ac:dyDescent="0.2">
      <c r="A419" s="2" t="s">
        <v>342</v>
      </c>
      <c r="B419">
        <v>2</v>
      </c>
      <c r="E419">
        <v>2</v>
      </c>
    </row>
    <row r="420" spans="1:5" x14ac:dyDescent="0.2">
      <c r="A420" s="2" t="s">
        <v>1409</v>
      </c>
      <c r="B420">
        <v>2</v>
      </c>
      <c r="E420">
        <v>2</v>
      </c>
    </row>
    <row r="421" spans="1:5" x14ac:dyDescent="0.2">
      <c r="A421" s="2" t="s">
        <v>565</v>
      </c>
      <c r="B421">
        <v>1</v>
      </c>
      <c r="E421">
        <v>1</v>
      </c>
    </row>
    <row r="422" spans="1:5" x14ac:dyDescent="0.2">
      <c r="A422" s="2" t="s">
        <v>105</v>
      </c>
      <c r="B422">
        <v>1</v>
      </c>
      <c r="E422">
        <v>1</v>
      </c>
    </row>
    <row r="423" spans="1:5" x14ac:dyDescent="0.2">
      <c r="A423" s="2" t="s">
        <v>1816</v>
      </c>
      <c r="B423">
        <v>1</v>
      </c>
      <c r="E423">
        <v>1</v>
      </c>
    </row>
    <row r="424" spans="1:5" x14ac:dyDescent="0.2">
      <c r="A424" s="2" t="s">
        <v>25</v>
      </c>
      <c r="C424">
        <v>5</v>
      </c>
      <c r="E424">
        <v>5</v>
      </c>
    </row>
    <row r="425" spans="1:5" x14ac:dyDescent="0.2">
      <c r="A425" s="2" t="s">
        <v>1181</v>
      </c>
      <c r="B425">
        <v>1</v>
      </c>
      <c r="E425">
        <v>1</v>
      </c>
    </row>
    <row r="426" spans="1:5" x14ac:dyDescent="0.2">
      <c r="A426" s="2" t="s">
        <v>21</v>
      </c>
      <c r="B426">
        <v>1</v>
      </c>
      <c r="E426">
        <v>1</v>
      </c>
    </row>
    <row r="427" spans="1:5" x14ac:dyDescent="0.2">
      <c r="A427" s="2" t="s">
        <v>262</v>
      </c>
      <c r="B427">
        <v>2</v>
      </c>
      <c r="E427">
        <v>2</v>
      </c>
    </row>
    <row r="428" spans="1:5" x14ac:dyDescent="0.2">
      <c r="A428" s="2" t="s">
        <v>13</v>
      </c>
      <c r="B428">
        <v>10</v>
      </c>
      <c r="E428">
        <v>10</v>
      </c>
    </row>
    <row r="429" spans="1:5" x14ac:dyDescent="0.2">
      <c r="A429" s="2" t="s">
        <v>18</v>
      </c>
      <c r="B429">
        <v>4</v>
      </c>
      <c r="E429">
        <v>4</v>
      </c>
    </row>
    <row r="430" spans="1:5" x14ac:dyDescent="0.2">
      <c r="A430" s="2" t="s">
        <v>930</v>
      </c>
      <c r="B430">
        <v>1</v>
      </c>
      <c r="E430">
        <v>1</v>
      </c>
    </row>
    <row r="431" spans="1:5" x14ac:dyDescent="0.2">
      <c r="A431" s="2" t="s">
        <v>439</v>
      </c>
      <c r="B431">
        <v>1</v>
      </c>
      <c r="E431">
        <v>1</v>
      </c>
    </row>
    <row r="432" spans="1:5" x14ac:dyDescent="0.2">
      <c r="A432" s="2" t="s">
        <v>1100</v>
      </c>
      <c r="B432">
        <v>2</v>
      </c>
      <c r="E432">
        <v>2</v>
      </c>
    </row>
    <row r="433" spans="1:5" x14ac:dyDescent="0.2">
      <c r="A433" s="2" t="s">
        <v>184</v>
      </c>
      <c r="B433">
        <v>2</v>
      </c>
      <c r="E433">
        <v>2</v>
      </c>
    </row>
    <row r="434" spans="1:5" x14ac:dyDescent="0.2">
      <c r="A434" s="2" t="s">
        <v>129</v>
      </c>
      <c r="B434">
        <v>3</v>
      </c>
      <c r="E434">
        <v>3</v>
      </c>
    </row>
    <row r="435" spans="1:5" x14ac:dyDescent="0.2">
      <c r="A435" s="2" t="s">
        <v>1573</v>
      </c>
      <c r="B435">
        <v>1</v>
      </c>
      <c r="E435">
        <v>1</v>
      </c>
    </row>
    <row r="436" spans="1:5" x14ac:dyDescent="0.2">
      <c r="A436" s="2" t="s">
        <v>826</v>
      </c>
      <c r="B436">
        <v>1</v>
      </c>
      <c r="E436">
        <v>1</v>
      </c>
    </row>
    <row r="437" spans="1:5" x14ac:dyDescent="0.2">
      <c r="A437" s="2" t="s">
        <v>1078</v>
      </c>
      <c r="B437">
        <v>2</v>
      </c>
      <c r="E437">
        <v>2</v>
      </c>
    </row>
    <row r="438" spans="1:5" x14ac:dyDescent="0.2">
      <c r="A438" s="2" t="s">
        <v>1601</v>
      </c>
      <c r="B438">
        <v>2</v>
      </c>
      <c r="E438">
        <v>2</v>
      </c>
    </row>
    <row r="439" spans="1:5" x14ac:dyDescent="0.2">
      <c r="A439" s="2" t="s">
        <v>473</v>
      </c>
      <c r="B439">
        <v>1</v>
      </c>
      <c r="E439">
        <v>1</v>
      </c>
    </row>
    <row r="440" spans="1:5" x14ac:dyDescent="0.2">
      <c r="A440" s="2" t="s">
        <v>97</v>
      </c>
      <c r="B440">
        <v>2</v>
      </c>
      <c r="E440">
        <v>2</v>
      </c>
    </row>
    <row r="441" spans="1:5" x14ac:dyDescent="0.2">
      <c r="A441" s="2" t="s">
        <v>1864</v>
      </c>
      <c r="B441">
        <v>1</v>
      </c>
      <c r="E441">
        <v>1</v>
      </c>
    </row>
    <row r="442" spans="1:5" x14ac:dyDescent="0.2">
      <c r="A442" s="2" t="s">
        <v>205</v>
      </c>
      <c r="B442">
        <v>3</v>
      </c>
      <c r="E442">
        <v>3</v>
      </c>
    </row>
    <row r="443" spans="1:5" x14ac:dyDescent="0.2">
      <c r="A443" s="2" t="s">
        <v>766</v>
      </c>
      <c r="B443">
        <v>1</v>
      </c>
      <c r="E443">
        <v>1</v>
      </c>
    </row>
    <row r="444" spans="1:5" x14ac:dyDescent="0.2">
      <c r="A444" s="2" t="s">
        <v>582</v>
      </c>
      <c r="B444">
        <v>1</v>
      </c>
      <c r="E444">
        <v>1</v>
      </c>
    </row>
    <row r="445" spans="1:5" x14ac:dyDescent="0.2">
      <c r="A445" s="2" t="s">
        <v>446</v>
      </c>
      <c r="B445">
        <v>4</v>
      </c>
      <c r="E445">
        <v>4</v>
      </c>
    </row>
    <row r="446" spans="1:5" x14ac:dyDescent="0.2">
      <c r="A446" s="2" t="s">
        <v>999</v>
      </c>
      <c r="B446">
        <v>1</v>
      </c>
      <c r="E446">
        <v>1</v>
      </c>
    </row>
    <row r="447" spans="1:5" x14ac:dyDescent="0.2">
      <c r="A447" s="2" t="s">
        <v>1956</v>
      </c>
      <c r="B447">
        <v>1</v>
      </c>
      <c r="E447">
        <v>1</v>
      </c>
    </row>
    <row r="448" spans="1:5" x14ac:dyDescent="0.2">
      <c r="A448" s="2" t="s">
        <v>2043</v>
      </c>
      <c r="B448">
        <v>26</v>
      </c>
      <c r="C448">
        <v>1</v>
      </c>
      <c r="E448">
        <v>27</v>
      </c>
    </row>
    <row r="449" spans="1:5" x14ac:dyDescent="0.2">
      <c r="A449" s="2" t="s">
        <v>2044</v>
      </c>
      <c r="B449">
        <v>766</v>
      </c>
      <c r="C449">
        <v>78</v>
      </c>
      <c r="E449">
        <v>844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57"/>
  <sheetViews>
    <sheetView zoomScale="120" zoomScaleNormal="120" workbookViewId="0">
      <selection activeCell="J831" sqref="J831"/>
    </sheetView>
  </sheetViews>
  <sheetFormatPr baseColWidth="10" defaultRowHeight="15" x14ac:dyDescent="0.2"/>
  <cols>
    <col min="1" max="1" width="8.6640625" bestFit="1" customWidth="1"/>
    <col min="2" max="2" width="11.33203125" bestFit="1" customWidth="1"/>
    <col min="3" max="3" width="9.33203125" bestFit="1" customWidth="1"/>
    <col min="4" max="4" width="8.5" bestFit="1" customWidth="1"/>
    <col min="5" max="5" width="16.5" bestFit="1" customWidth="1"/>
    <col min="6" max="6" width="15.33203125" bestFit="1" customWidth="1"/>
    <col min="7" max="7" width="38" bestFit="1" customWidth="1"/>
    <col min="8" max="8" width="26.1640625" bestFit="1" customWidth="1"/>
    <col min="9" max="9" width="37.6640625" bestFit="1" customWidth="1"/>
    <col min="10" max="10" width="37.6640625" customWidth="1"/>
    <col min="11" max="11" width="13.332031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2036</v>
      </c>
      <c r="K1" t="s">
        <v>2716</v>
      </c>
      <c r="L1" t="s">
        <v>2039</v>
      </c>
    </row>
    <row r="2" spans="1:12" ht="16" x14ac:dyDescent="0.2">
      <c r="A2" t="s">
        <v>1888</v>
      </c>
      <c r="B2">
        <v>2318</v>
      </c>
      <c r="C2" s="3">
        <v>91.010999999999996</v>
      </c>
      <c r="D2">
        <v>0</v>
      </c>
      <c r="E2" t="s">
        <v>10</v>
      </c>
      <c r="F2" t="s">
        <v>10</v>
      </c>
      <c r="G2" t="s">
        <v>1889</v>
      </c>
      <c r="H2" t="s">
        <v>1890</v>
      </c>
      <c r="I2" t="s">
        <v>1891</v>
      </c>
      <c r="J2" t="s">
        <v>2714</v>
      </c>
      <c r="K2" t="s">
        <v>2715</v>
      </c>
      <c r="L2" t="s">
        <v>2040</v>
      </c>
    </row>
    <row r="3" spans="1:12" ht="16" x14ac:dyDescent="0.2">
      <c r="A3" t="s">
        <v>1838</v>
      </c>
      <c r="B3">
        <v>2262</v>
      </c>
      <c r="C3" s="3">
        <v>91.025999999999996</v>
      </c>
      <c r="D3">
        <v>91.025999999999996</v>
      </c>
      <c r="H3" t="s">
        <v>11</v>
      </c>
      <c r="I3" t="s">
        <v>1839</v>
      </c>
      <c r="J3" t="s">
        <v>2714</v>
      </c>
      <c r="K3" t="s">
        <v>2715</v>
      </c>
      <c r="L3" t="s">
        <v>2040</v>
      </c>
    </row>
    <row r="4" spans="1:12" ht="16" x14ac:dyDescent="0.2">
      <c r="A4" t="s">
        <v>1633</v>
      </c>
      <c r="B4">
        <v>1997</v>
      </c>
      <c r="C4" s="3">
        <v>91.045000000000002</v>
      </c>
      <c r="D4">
        <v>0</v>
      </c>
      <c r="E4" t="s">
        <v>10</v>
      </c>
      <c r="F4" t="s">
        <v>10</v>
      </c>
      <c r="H4" t="s">
        <v>11</v>
      </c>
      <c r="I4" t="s">
        <v>1634</v>
      </c>
      <c r="J4" t="s">
        <v>2714</v>
      </c>
      <c r="K4" t="s">
        <v>2715</v>
      </c>
      <c r="L4" t="s">
        <v>2040</v>
      </c>
    </row>
    <row r="5" spans="1:12" ht="16" x14ac:dyDescent="0.2">
      <c r="A5" t="s">
        <v>487</v>
      </c>
      <c r="B5">
        <v>450</v>
      </c>
      <c r="C5" s="3">
        <v>91.061000000000007</v>
      </c>
      <c r="D5">
        <v>91.061000000000007</v>
      </c>
      <c r="H5" t="s">
        <v>128</v>
      </c>
      <c r="I5" t="s">
        <v>129</v>
      </c>
      <c r="J5" t="s">
        <v>2714</v>
      </c>
      <c r="K5" t="s">
        <v>2715</v>
      </c>
      <c r="L5" t="s">
        <v>2040</v>
      </c>
    </row>
    <row r="6" spans="1:12" ht="16" x14ac:dyDescent="0.2">
      <c r="A6" t="s">
        <v>1570</v>
      </c>
      <c r="B6">
        <v>1926</v>
      </c>
      <c r="C6" s="3">
        <v>91.061000000000007</v>
      </c>
      <c r="D6">
        <v>0</v>
      </c>
      <c r="E6" t="s">
        <v>10</v>
      </c>
      <c r="F6" t="s">
        <v>10</v>
      </c>
      <c r="G6" t="s">
        <v>1571</v>
      </c>
      <c r="H6" t="s">
        <v>1572</v>
      </c>
      <c r="I6" t="s">
        <v>1573</v>
      </c>
      <c r="J6" t="s">
        <v>2714</v>
      </c>
      <c r="K6" t="s">
        <v>2038</v>
      </c>
      <c r="L6" t="s">
        <v>2040</v>
      </c>
    </row>
    <row r="7" spans="1:12" ht="16" x14ac:dyDescent="0.2">
      <c r="A7" t="s">
        <v>647</v>
      </c>
      <c r="B7">
        <v>648</v>
      </c>
      <c r="C7" s="3">
        <v>91.061000000000007</v>
      </c>
      <c r="D7">
        <v>91.061000000000007</v>
      </c>
      <c r="H7" t="s">
        <v>30</v>
      </c>
      <c r="I7" t="s">
        <v>31</v>
      </c>
      <c r="J7" t="s">
        <v>2714</v>
      </c>
      <c r="K7" t="s">
        <v>2038</v>
      </c>
      <c r="L7" t="s">
        <v>2040</v>
      </c>
    </row>
    <row r="8" spans="1:12" ht="16" x14ac:dyDescent="0.2">
      <c r="A8" t="s">
        <v>489</v>
      </c>
      <c r="B8">
        <v>458</v>
      </c>
      <c r="C8" s="3">
        <v>91.061000000000007</v>
      </c>
      <c r="D8">
        <v>91.061000000000007</v>
      </c>
      <c r="H8" t="s">
        <v>490</v>
      </c>
      <c r="I8" t="s">
        <v>491</v>
      </c>
      <c r="J8" t="s">
        <v>2714</v>
      </c>
      <c r="K8" t="s">
        <v>2038</v>
      </c>
      <c r="L8" t="s">
        <v>2040</v>
      </c>
    </row>
    <row r="9" spans="1:12" ht="16" x14ac:dyDescent="0.2">
      <c r="A9" t="s">
        <v>1813</v>
      </c>
      <c r="B9">
        <v>2230</v>
      </c>
      <c r="C9" s="3">
        <v>91.061000000000007</v>
      </c>
      <c r="D9">
        <v>0</v>
      </c>
      <c r="E9" t="s">
        <v>10</v>
      </c>
      <c r="F9" t="s">
        <v>11</v>
      </c>
      <c r="G9" t="s">
        <v>598</v>
      </c>
      <c r="H9" t="s">
        <v>599</v>
      </c>
      <c r="I9" t="s">
        <v>600</v>
      </c>
      <c r="J9" t="s">
        <v>2714</v>
      </c>
      <c r="K9" t="s">
        <v>2038</v>
      </c>
      <c r="L9" t="s">
        <v>2040</v>
      </c>
    </row>
    <row r="10" spans="1:12" ht="16" x14ac:dyDescent="0.2">
      <c r="A10" t="s">
        <v>1702</v>
      </c>
      <c r="B10">
        <v>2109</v>
      </c>
      <c r="C10" s="3">
        <v>91.070999999999998</v>
      </c>
      <c r="D10">
        <v>91.070999999999998</v>
      </c>
      <c r="H10" t="s">
        <v>723</v>
      </c>
      <c r="I10" t="s">
        <v>1703</v>
      </c>
      <c r="J10" t="s">
        <v>2714</v>
      </c>
      <c r="K10" t="s">
        <v>2038</v>
      </c>
      <c r="L10" t="s">
        <v>2040</v>
      </c>
    </row>
    <row r="11" spans="1:12" ht="16" x14ac:dyDescent="0.2">
      <c r="A11" t="s">
        <v>870</v>
      </c>
      <c r="B11">
        <v>945</v>
      </c>
      <c r="C11" s="3">
        <v>91.070999999999998</v>
      </c>
      <c r="D11">
        <v>91.070999999999998</v>
      </c>
      <c r="H11" t="s">
        <v>871</v>
      </c>
      <c r="I11" t="s">
        <v>872</v>
      </c>
      <c r="J11" t="s">
        <v>2714</v>
      </c>
      <c r="K11" t="s">
        <v>2038</v>
      </c>
      <c r="L11" t="s">
        <v>2040</v>
      </c>
    </row>
    <row r="12" spans="1:12" ht="16" x14ac:dyDescent="0.2">
      <c r="A12" t="s">
        <v>1387</v>
      </c>
      <c r="B12">
        <v>1646</v>
      </c>
      <c r="C12" s="3">
        <v>91.070999999999998</v>
      </c>
      <c r="D12">
        <v>91.070999999999998</v>
      </c>
      <c r="H12" t="s">
        <v>1388</v>
      </c>
      <c r="I12" t="s">
        <v>1389</v>
      </c>
      <c r="J12" t="s">
        <v>2714</v>
      </c>
      <c r="K12" t="s">
        <v>2038</v>
      </c>
      <c r="L12" t="s">
        <v>2040</v>
      </c>
    </row>
    <row r="13" spans="1:12" ht="16" x14ac:dyDescent="0.2">
      <c r="A13" t="s">
        <v>923</v>
      </c>
      <c r="B13">
        <v>1027</v>
      </c>
      <c r="C13" s="3">
        <v>91.070999999999998</v>
      </c>
      <c r="D13">
        <v>91.070999999999998</v>
      </c>
      <c r="H13" t="s">
        <v>831</v>
      </c>
      <c r="I13" t="s">
        <v>832</v>
      </c>
      <c r="J13" t="s">
        <v>2714</v>
      </c>
      <c r="K13" t="s">
        <v>2038</v>
      </c>
      <c r="L13" t="s">
        <v>2040</v>
      </c>
    </row>
    <row r="14" spans="1:12" ht="16" x14ac:dyDescent="0.2">
      <c r="A14" t="s">
        <v>1455</v>
      </c>
      <c r="B14">
        <v>1782</v>
      </c>
      <c r="C14" s="3">
        <v>91.070999999999998</v>
      </c>
      <c r="D14">
        <v>91.070999999999998</v>
      </c>
      <c r="H14" t="s">
        <v>831</v>
      </c>
      <c r="I14" t="s">
        <v>832</v>
      </c>
      <c r="J14" t="s">
        <v>2714</v>
      </c>
      <c r="K14" t="s">
        <v>2038</v>
      </c>
      <c r="L14" t="s">
        <v>2040</v>
      </c>
    </row>
    <row r="15" spans="1:12" ht="16" x14ac:dyDescent="0.2">
      <c r="A15" t="s">
        <v>844</v>
      </c>
      <c r="B15">
        <v>904</v>
      </c>
      <c r="C15" s="3">
        <v>91.070999999999998</v>
      </c>
      <c r="D15">
        <v>91.070999999999998</v>
      </c>
      <c r="H15" t="s">
        <v>831</v>
      </c>
      <c r="I15" t="s">
        <v>832</v>
      </c>
      <c r="J15" t="s">
        <v>2714</v>
      </c>
      <c r="K15" t="s">
        <v>2038</v>
      </c>
      <c r="L15" t="s">
        <v>2040</v>
      </c>
    </row>
    <row r="16" spans="1:12" ht="16" x14ac:dyDescent="0.2">
      <c r="A16" t="s">
        <v>1222</v>
      </c>
      <c r="B16">
        <v>1472</v>
      </c>
      <c r="C16" s="3">
        <v>91.111000000000004</v>
      </c>
      <c r="D16">
        <v>91.111000000000004</v>
      </c>
      <c r="H16" t="s">
        <v>1223</v>
      </c>
      <c r="I16" t="s">
        <v>1224</v>
      </c>
      <c r="J16" t="s">
        <v>2714</v>
      </c>
      <c r="K16" t="s">
        <v>2038</v>
      </c>
      <c r="L16" t="s">
        <v>2040</v>
      </c>
    </row>
    <row r="17" spans="1:12" ht="16" x14ac:dyDescent="0.2">
      <c r="A17" t="s">
        <v>126</v>
      </c>
      <c r="B17">
        <v>71</v>
      </c>
      <c r="C17" s="3">
        <v>91.111000000000004</v>
      </c>
      <c r="D17">
        <v>91.111000000000004</v>
      </c>
      <c r="H17" t="s">
        <v>128</v>
      </c>
      <c r="I17" t="s">
        <v>129</v>
      </c>
      <c r="J17" t="s">
        <v>2714</v>
      </c>
      <c r="K17" t="s">
        <v>2038</v>
      </c>
      <c r="L17" t="s">
        <v>2040</v>
      </c>
    </row>
    <row r="18" spans="1:12" ht="16" x14ac:dyDescent="0.2">
      <c r="A18" t="s">
        <v>927</v>
      </c>
      <c r="B18">
        <v>1034</v>
      </c>
      <c r="C18" s="3">
        <v>91.111000000000004</v>
      </c>
      <c r="D18">
        <v>91.111000000000004</v>
      </c>
      <c r="H18" t="s">
        <v>858</v>
      </c>
      <c r="I18" t="s">
        <v>859</v>
      </c>
      <c r="J18" t="s">
        <v>2714</v>
      </c>
      <c r="K18" t="s">
        <v>2038</v>
      </c>
      <c r="L18" t="s">
        <v>2040</v>
      </c>
    </row>
    <row r="19" spans="1:12" ht="16" x14ac:dyDescent="0.2">
      <c r="A19" t="s">
        <v>857</v>
      </c>
      <c r="B19">
        <v>932</v>
      </c>
      <c r="C19" s="3">
        <v>91.111000000000004</v>
      </c>
      <c r="D19">
        <v>91.111000000000004</v>
      </c>
      <c r="H19" t="s">
        <v>858</v>
      </c>
      <c r="I19" t="s">
        <v>859</v>
      </c>
      <c r="J19" t="s">
        <v>2714</v>
      </c>
      <c r="K19" t="s">
        <v>2038</v>
      </c>
      <c r="L19" t="s">
        <v>2040</v>
      </c>
    </row>
    <row r="20" spans="1:12" ht="16" x14ac:dyDescent="0.2">
      <c r="A20" t="s">
        <v>1933</v>
      </c>
      <c r="B20">
        <v>2395</v>
      </c>
      <c r="C20" s="3">
        <v>91.138999999999996</v>
      </c>
      <c r="D20">
        <v>91.138999999999996</v>
      </c>
      <c r="H20" t="s">
        <v>1934</v>
      </c>
      <c r="I20" t="s">
        <v>1935</v>
      </c>
      <c r="J20" t="s">
        <v>2714</v>
      </c>
      <c r="K20" t="s">
        <v>2038</v>
      </c>
      <c r="L20" t="s">
        <v>2040</v>
      </c>
    </row>
    <row r="21" spans="1:12" ht="16" x14ac:dyDescent="0.2">
      <c r="A21" t="s">
        <v>1345</v>
      </c>
      <c r="B21">
        <v>1595</v>
      </c>
      <c r="C21" s="3">
        <v>91.16</v>
      </c>
      <c r="D21">
        <v>91.16</v>
      </c>
      <c r="H21" t="s">
        <v>364</v>
      </c>
      <c r="I21" t="s">
        <v>365</v>
      </c>
      <c r="J21" t="s">
        <v>2714</v>
      </c>
      <c r="K21" t="s">
        <v>2038</v>
      </c>
      <c r="L21" t="s">
        <v>2040</v>
      </c>
    </row>
    <row r="22" spans="1:12" ht="16" x14ac:dyDescent="0.2">
      <c r="A22" t="s">
        <v>289</v>
      </c>
      <c r="B22">
        <v>201</v>
      </c>
      <c r="C22" s="3">
        <v>91.16</v>
      </c>
      <c r="D22">
        <v>91.16</v>
      </c>
      <c r="H22" t="s">
        <v>128</v>
      </c>
      <c r="I22" t="s">
        <v>129</v>
      </c>
      <c r="J22" t="s">
        <v>2714</v>
      </c>
      <c r="K22" t="s">
        <v>2038</v>
      </c>
      <c r="L22" t="s">
        <v>2040</v>
      </c>
    </row>
    <row r="23" spans="1:12" ht="16" x14ac:dyDescent="0.2">
      <c r="A23" t="s">
        <v>14</v>
      </c>
      <c r="B23">
        <v>7</v>
      </c>
      <c r="C23" s="3">
        <v>91.16</v>
      </c>
      <c r="D23">
        <v>91.16</v>
      </c>
      <c r="H23" t="str">
        <f>LEFT(I23, FIND(" sp.", I23) - 1)</f>
        <v>Stigmaeidae</v>
      </c>
      <c r="I23" t="s">
        <v>15</v>
      </c>
      <c r="J23" t="s">
        <v>2714</v>
      </c>
      <c r="K23" t="s">
        <v>2038</v>
      </c>
      <c r="L23" t="s">
        <v>2040</v>
      </c>
    </row>
    <row r="24" spans="1:12" ht="16" x14ac:dyDescent="0.2">
      <c r="A24" t="s">
        <v>587</v>
      </c>
      <c r="B24">
        <v>598</v>
      </c>
      <c r="C24" s="3">
        <v>91.16</v>
      </c>
      <c r="D24">
        <v>91.16</v>
      </c>
      <c r="H24" t="s">
        <v>192</v>
      </c>
      <c r="I24" t="s">
        <v>193</v>
      </c>
      <c r="J24" t="s">
        <v>2714</v>
      </c>
      <c r="K24" t="s">
        <v>2038</v>
      </c>
      <c r="L24" t="s">
        <v>2040</v>
      </c>
    </row>
    <row r="25" spans="1:12" ht="16" x14ac:dyDescent="0.2">
      <c r="A25" t="s">
        <v>1326</v>
      </c>
      <c r="B25">
        <v>1569</v>
      </c>
      <c r="C25" s="3">
        <v>91.176000000000002</v>
      </c>
      <c r="D25">
        <v>91.176000000000002</v>
      </c>
      <c r="H25" t="s">
        <v>1327</v>
      </c>
      <c r="I25" t="s">
        <v>1328</v>
      </c>
      <c r="J25" t="s">
        <v>2714</v>
      </c>
      <c r="K25" t="s">
        <v>2038</v>
      </c>
      <c r="L25" t="s">
        <v>2040</v>
      </c>
    </row>
    <row r="26" spans="1:12" ht="16" x14ac:dyDescent="0.2">
      <c r="A26" t="s">
        <v>966</v>
      </c>
      <c r="B26">
        <v>1086</v>
      </c>
      <c r="C26" s="3">
        <v>91.176000000000002</v>
      </c>
      <c r="D26">
        <v>0</v>
      </c>
      <c r="E26" t="s">
        <v>119</v>
      </c>
      <c r="F26" t="s">
        <v>11</v>
      </c>
      <c r="G26" t="s">
        <v>967</v>
      </c>
      <c r="H26" t="s">
        <v>723</v>
      </c>
      <c r="I26" t="s">
        <v>968</v>
      </c>
      <c r="J26" t="s">
        <v>2714</v>
      </c>
      <c r="K26" t="s">
        <v>2038</v>
      </c>
      <c r="L26" t="s">
        <v>2040</v>
      </c>
    </row>
    <row r="27" spans="1:12" ht="16" x14ac:dyDescent="0.2">
      <c r="A27" t="s">
        <v>275</v>
      </c>
      <c r="B27">
        <v>195</v>
      </c>
      <c r="C27" s="3">
        <v>91.176000000000002</v>
      </c>
      <c r="D27">
        <v>91.176000000000002</v>
      </c>
      <c r="H27" t="s">
        <v>277</v>
      </c>
      <c r="I27" t="s">
        <v>278</v>
      </c>
      <c r="J27" t="s">
        <v>2714</v>
      </c>
      <c r="K27" t="s">
        <v>2038</v>
      </c>
      <c r="L27" t="s">
        <v>2040</v>
      </c>
    </row>
    <row r="28" spans="1:12" ht="16" x14ac:dyDescent="0.2">
      <c r="A28" t="s">
        <v>626</v>
      </c>
      <c r="B28">
        <v>630</v>
      </c>
      <c r="C28" s="3">
        <v>91.176000000000002</v>
      </c>
      <c r="D28">
        <v>91.176000000000002</v>
      </c>
      <c r="H28" t="s">
        <v>627</v>
      </c>
      <c r="I28" t="s">
        <v>628</v>
      </c>
      <c r="J28" t="s">
        <v>2714</v>
      </c>
      <c r="K28" t="s">
        <v>2038</v>
      </c>
      <c r="L28" t="s">
        <v>2040</v>
      </c>
    </row>
    <row r="29" spans="1:12" ht="16" x14ac:dyDescent="0.2">
      <c r="A29" t="s">
        <v>880</v>
      </c>
      <c r="B29">
        <v>955</v>
      </c>
      <c r="C29" s="3">
        <v>91.176000000000002</v>
      </c>
      <c r="D29">
        <v>91.176000000000002</v>
      </c>
      <c r="H29" t="s">
        <v>881</v>
      </c>
      <c r="I29" t="s">
        <v>882</v>
      </c>
      <c r="J29" t="s">
        <v>2714</v>
      </c>
      <c r="K29" t="s">
        <v>2038</v>
      </c>
      <c r="L29" t="s">
        <v>2040</v>
      </c>
    </row>
    <row r="30" spans="1:12" ht="16" x14ac:dyDescent="0.2">
      <c r="A30" t="s">
        <v>1139</v>
      </c>
      <c r="B30">
        <v>1354</v>
      </c>
      <c r="C30" s="3">
        <v>91.176000000000002</v>
      </c>
      <c r="D30">
        <v>91.176000000000002</v>
      </c>
      <c r="H30" t="str">
        <f>LEFT(I30, FIND(" sp.", I30) - 1)</f>
        <v>Hexanauplia</v>
      </c>
      <c r="I30" t="s">
        <v>324</v>
      </c>
      <c r="J30" t="s">
        <v>2714</v>
      </c>
      <c r="K30" t="s">
        <v>2038</v>
      </c>
      <c r="L30" t="s">
        <v>2040</v>
      </c>
    </row>
    <row r="31" spans="1:12" ht="16" x14ac:dyDescent="0.2">
      <c r="A31" t="s">
        <v>1392</v>
      </c>
      <c r="B31">
        <v>1656</v>
      </c>
      <c r="C31" s="3">
        <v>91.176000000000002</v>
      </c>
      <c r="D31">
        <v>91.176000000000002</v>
      </c>
      <c r="H31" t="str">
        <f>LEFT(I31, FIND(" sp.", I31) - 1)</f>
        <v>Hexanauplia</v>
      </c>
      <c r="I31" t="s">
        <v>324</v>
      </c>
      <c r="J31" t="s">
        <v>2714</v>
      </c>
      <c r="K31" t="s">
        <v>2038</v>
      </c>
      <c r="L31" t="s">
        <v>2040</v>
      </c>
    </row>
    <row r="32" spans="1:12" ht="16" x14ac:dyDescent="0.2">
      <c r="A32" t="s">
        <v>331</v>
      </c>
      <c r="B32">
        <v>241</v>
      </c>
      <c r="C32" s="3">
        <v>91.209000000000003</v>
      </c>
      <c r="D32">
        <v>91.209000000000003</v>
      </c>
      <c r="H32" t="s">
        <v>111</v>
      </c>
      <c r="I32" t="s">
        <v>332</v>
      </c>
      <c r="J32" t="s">
        <v>2714</v>
      </c>
      <c r="K32" t="s">
        <v>2038</v>
      </c>
      <c r="L32" t="s">
        <v>2040</v>
      </c>
    </row>
    <row r="33" spans="1:12" ht="16" x14ac:dyDescent="0.2">
      <c r="A33" t="s">
        <v>1196</v>
      </c>
      <c r="B33">
        <v>1433</v>
      </c>
      <c r="C33" s="3">
        <v>91.209000000000003</v>
      </c>
      <c r="D33">
        <v>4.9000000000006601E-2</v>
      </c>
      <c r="E33" t="s">
        <v>10</v>
      </c>
      <c r="F33" t="s">
        <v>10</v>
      </c>
      <c r="H33" t="str">
        <f>LEFT(I33, FIND(" sp.", I33) - 1)</f>
        <v>Dryinidae</v>
      </c>
      <c r="I33" t="s">
        <v>1197</v>
      </c>
      <c r="J33" t="s">
        <v>2714</v>
      </c>
      <c r="K33" t="s">
        <v>2038</v>
      </c>
      <c r="L33" t="s">
        <v>2040</v>
      </c>
    </row>
    <row r="34" spans="1:12" ht="16" x14ac:dyDescent="0.2">
      <c r="A34" t="s">
        <v>234</v>
      </c>
      <c r="B34">
        <v>166</v>
      </c>
      <c r="C34" s="3">
        <v>91.227999999999994</v>
      </c>
      <c r="D34">
        <v>91.227999999999994</v>
      </c>
      <c r="H34" t="s">
        <v>235</v>
      </c>
      <c r="I34" t="s">
        <v>236</v>
      </c>
      <c r="J34" t="s">
        <v>2714</v>
      </c>
      <c r="K34" t="s">
        <v>2038</v>
      </c>
      <c r="L34" t="s">
        <v>2040</v>
      </c>
    </row>
    <row r="35" spans="1:12" ht="16" x14ac:dyDescent="0.2">
      <c r="A35" t="s">
        <v>574</v>
      </c>
      <c r="B35">
        <v>581</v>
      </c>
      <c r="C35" s="3">
        <v>91.227999999999994</v>
      </c>
      <c r="D35">
        <v>0</v>
      </c>
      <c r="E35" t="s">
        <v>575</v>
      </c>
      <c r="F35" t="s">
        <v>576</v>
      </c>
      <c r="G35" t="s">
        <v>577</v>
      </c>
      <c r="H35" t="s">
        <v>578</v>
      </c>
      <c r="I35" t="s">
        <v>579</v>
      </c>
      <c r="J35" t="s">
        <v>2714</v>
      </c>
      <c r="K35" t="s">
        <v>2038</v>
      </c>
      <c r="L35" t="s">
        <v>2040</v>
      </c>
    </row>
    <row r="36" spans="1:12" ht="16" x14ac:dyDescent="0.2">
      <c r="A36" t="s">
        <v>1306</v>
      </c>
      <c r="B36">
        <v>1554</v>
      </c>
      <c r="C36" s="3">
        <v>91.227999999999994</v>
      </c>
      <c r="D36">
        <v>91.227999999999994</v>
      </c>
      <c r="H36" t="s">
        <v>829</v>
      </c>
      <c r="I36" t="s">
        <v>830</v>
      </c>
      <c r="J36" t="s">
        <v>2714</v>
      </c>
      <c r="K36" t="s">
        <v>2038</v>
      </c>
      <c r="L36" t="s">
        <v>2040</v>
      </c>
    </row>
    <row r="37" spans="1:12" ht="16" x14ac:dyDescent="0.2">
      <c r="A37" t="s">
        <v>1391</v>
      </c>
      <c r="B37">
        <v>1654</v>
      </c>
      <c r="C37" s="3">
        <v>91.227999999999994</v>
      </c>
      <c r="D37">
        <v>91.227999999999994</v>
      </c>
      <c r="H37" t="s">
        <v>829</v>
      </c>
      <c r="I37" t="s">
        <v>830</v>
      </c>
      <c r="J37" t="s">
        <v>2714</v>
      </c>
      <c r="K37" t="s">
        <v>2038</v>
      </c>
      <c r="L37" t="s">
        <v>2040</v>
      </c>
    </row>
    <row r="38" spans="1:12" ht="16" x14ac:dyDescent="0.2">
      <c r="A38" t="s">
        <v>563</v>
      </c>
      <c r="B38">
        <v>568</v>
      </c>
      <c r="C38" s="3">
        <v>91.25</v>
      </c>
      <c r="D38">
        <v>91.25</v>
      </c>
      <c r="H38" t="s">
        <v>564</v>
      </c>
      <c r="I38" t="s">
        <v>565</v>
      </c>
      <c r="J38" t="s">
        <v>2714</v>
      </c>
      <c r="K38" t="s">
        <v>2038</v>
      </c>
      <c r="L38" t="s">
        <v>2040</v>
      </c>
    </row>
    <row r="39" spans="1:12" ht="16" x14ac:dyDescent="0.2">
      <c r="A39" t="s">
        <v>1828</v>
      </c>
      <c r="B39">
        <v>2256</v>
      </c>
      <c r="C39" s="3">
        <v>91.257000000000005</v>
      </c>
      <c r="D39">
        <v>91.257000000000005</v>
      </c>
      <c r="H39" t="s">
        <v>815</v>
      </c>
      <c r="I39" t="s">
        <v>816</v>
      </c>
      <c r="J39" t="s">
        <v>2714</v>
      </c>
      <c r="K39" t="s">
        <v>2038</v>
      </c>
      <c r="L39" t="s">
        <v>2040</v>
      </c>
    </row>
    <row r="40" spans="1:12" ht="16" x14ac:dyDescent="0.2">
      <c r="A40" t="s">
        <v>1220</v>
      </c>
      <c r="B40">
        <v>1468</v>
      </c>
      <c r="C40" s="3">
        <v>91.278999999999996</v>
      </c>
      <c r="D40">
        <v>91.278999999999996</v>
      </c>
      <c r="H40" t="str">
        <f>LEFT(I40, FIND(" sp.", I40) - 1)</f>
        <v>Delphacidae</v>
      </c>
      <c r="I40" t="s">
        <v>1221</v>
      </c>
      <c r="J40" t="s">
        <v>2714</v>
      </c>
      <c r="K40" t="s">
        <v>2038</v>
      </c>
      <c r="L40" t="s">
        <v>2040</v>
      </c>
    </row>
    <row r="41" spans="1:12" ht="16" x14ac:dyDescent="0.2">
      <c r="A41" t="s">
        <v>706</v>
      </c>
      <c r="B41">
        <v>712</v>
      </c>
      <c r="C41" s="3">
        <v>91.304000000000002</v>
      </c>
      <c r="D41">
        <v>91.304000000000002</v>
      </c>
      <c r="H41" t="s">
        <v>707</v>
      </c>
      <c r="I41" t="s">
        <v>708</v>
      </c>
      <c r="J41" t="s">
        <v>2714</v>
      </c>
      <c r="K41" t="s">
        <v>2038</v>
      </c>
      <c r="L41" t="s">
        <v>2040</v>
      </c>
    </row>
    <row r="42" spans="1:12" ht="16" x14ac:dyDescent="0.2">
      <c r="A42" t="s">
        <v>825</v>
      </c>
      <c r="B42">
        <v>884</v>
      </c>
      <c r="C42" s="3">
        <v>91.304000000000002</v>
      </c>
      <c r="D42">
        <v>91.304000000000002</v>
      </c>
      <c r="H42" t="str">
        <f>LEFT(I42, FIND(" sp.", I42) - 1)</f>
        <v>Trombidiformes</v>
      </c>
      <c r="I42" t="s">
        <v>826</v>
      </c>
      <c r="J42" t="s">
        <v>2714</v>
      </c>
      <c r="K42" t="s">
        <v>2038</v>
      </c>
      <c r="L42" t="s">
        <v>2040</v>
      </c>
    </row>
    <row r="43" spans="1:12" ht="16" x14ac:dyDescent="0.2">
      <c r="A43" t="s">
        <v>1044</v>
      </c>
      <c r="B43">
        <v>1232</v>
      </c>
      <c r="C43" s="3">
        <v>91.304000000000002</v>
      </c>
      <c r="D43">
        <v>91.304000000000002</v>
      </c>
      <c r="H43" t="s">
        <v>1045</v>
      </c>
      <c r="I43" t="s">
        <v>1046</v>
      </c>
      <c r="J43" t="s">
        <v>2714</v>
      </c>
      <c r="K43" t="s">
        <v>2038</v>
      </c>
      <c r="L43" t="s">
        <v>2040</v>
      </c>
    </row>
    <row r="44" spans="1:12" ht="16" x14ac:dyDescent="0.2">
      <c r="A44" t="s">
        <v>2019</v>
      </c>
      <c r="B44">
        <v>2574</v>
      </c>
      <c r="C44" s="3">
        <v>91.304000000000002</v>
      </c>
      <c r="D44">
        <v>0</v>
      </c>
      <c r="E44" t="s">
        <v>10</v>
      </c>
      <c r="F44" t="s">
        <v>11</v>
      </c>
      <c r="G44" t="s">
        <v>2020</v>
      </c>
      <c r="H44" t="s">
        <v>2021</v>
      </c>
      <c r="I44" t="s">
        <v>2022</v>
      </c>
      <c r="J44" t="s">
        <v>2714</v>
      </c>
      <c r="K44" t="s">
        <v>2038</v>
      </c>
      <c r="L44" t="s">
        <v>2040</v>
      </c>
    </row>
    <row r="45" spans="1:12" ht="16" x14ac:dyDescent="0.2">
      <c r="A45" t="s">
        <v>1915</v>
      </c>
      <c r="B45">
        <v>2353</v>
      </c>
      <c r="C45" s="3">
        <v>91.304000000000002</v>
      </c>
      <c r="D45">
        <v>91.304000000000002</v>
      </c>
      <c r="H45" t="s">
        <v>1916</v>
      </c>
      <c r="I45" t="s">
        <v>1917</v>
      </c>
      <c r="J45" t="s">
        <v>2714</v>
      </c>
      <c r="K45" t="s">
        <v>2038</v>
      </c>
      <c r="L45" t="s">
        <v>2040</v>
      </c>
    </row>
    <row r="46" spans="1:12" ht="16" x14ac:dyDescent="0.2">
      <c r="A46" t="s">
        <v>393</v>
      </c>
      <c r="B46">
        <v>311</v>
      </c>
      <c r="C46" s="3">
        <v>91.304000000000002</v>
      </c>
      <c r="D46">
        <v>91.304000000000002</v>
      </c>
      <c r="H46" t="str">
        <f>LEFT(I46, FIND(" sp.", I46) - 1)</f>
        <v>Hydroptilidae</v>
      </c>
      <c r="I46" t="s">
        <v>394</v>
      </c>
      <c r="J46" t="s">
        <v>2714</v>
      </c>
      <c r="K46" t="s">
        <v>2038</v>
      </c>
      <c r="L46" t="s">
        <v>2040</v>
      </c>
    </row>
    <row r="47" spans="1:12" ht="16" x14ac:dyDescent="0.2">
      <c r="A47" t="s">
        <v>1094</v>
      </c>
      <c r="B47">
        <v>1293</v>
      </c>
      <c r="C47" s="3">
        <v>91.304000000000002</v>
      </c>
      <c r="D47">
        <v>91.304000000000002</v>
      </c>
      <c r="H47" t="s">
        <v>1095</v>
      </c>
      <c r="I47" t="s">
        <v>1096</v>
      </c>
      <c r="J47" t="s">
        <v>2714</v>
      </c>
      <c r="K47" t="s">
        <v>2038</v>
      </c>
      <c r="L47" t="s">
        <v>2040</v>
      </c>
    </row>
    <row r="48" spans="1:12" ht="16" x14ac:dyDescent="0.2">
      <c r="A48" t="s">
        <v>1656</v>
      </c>
      <c r="B48">
        <v>2037</v>
      </c>
      <c r="C48" s="3">
        <v>91.379000000000005</v>
      </c>
      <c r="D48">
        <v>91.379000000000005</v>
      </c>
      <c r="H48" t="str">
        <f>LEFT(I48, FIND(" sp.", I48) - 1)</f>
        <v>Delphacidae</v>
      </c>
      <c r="I48" t="s">
        <v>1221</v>
      </c>
      <c r="J48" t="s">
        <v>2714</v>
      </c>
      <c r="K48" t="s">
        <v>2038</v>
      </c>
      <c r="L48" t="s">
        <v>2040</v>
      </c>
    </row>
    <row r="49" spans="1:12" ht="16" x14ac:dyDescent="0.2">
      <c r="A49" t="s">
        <v>1030</v>
      </c>
      <c r="B49">
        <v>1214</v>
      </c>
      <c r="C49" s="3">
        <v>91.379000000000005</v>
      </c>
      <c r="D49">
        <v>91.379000000000005</v>
      </c>
      <c r="H49" t="s">
        <v>11</v>
      </c>
      <c r="I49" t="s">
        <v>1031</v>
      </c>
      <c r="J49" t="s">
        <v>2714</v>
      </c>
      <c r="K49" t="s">
        <v>2037</v>
      </c>
      <c r="L49" t="s">
        <v>10</v>
      </c>
    </row>
    <row r="50" spans="1:12" ht="16" x14ac:dyDescent="0.2">
      <c r="A50" t="s">
        <v>1648</v>
      </c>
      <c r="B50">
        <v>2016</v>
      </c>
      <c r="C50" s="3">
        <v>91.379000000000005</v>
      </c>
      <c r="D50">
        <v>91.379000000000005</v>
      </c>
      <c r="H50" t="s">
        <v>11</v>
      </c>
      <c r="I50" t="s">
        <v>1221</v>
      </c>
      <c r="J50" t="s">
        <v>2714</v>
      </c>
      <c r="K50" t="s">
        <v>2037</v>
      </c>
      <c r="L50" t="s">
        <v>10</v>
      </c>
    </row>
    <row r="51" spans="1:12" ht="16" x14ac:dyDescent="0.2">
      <c r="A51" t="s">
        <v>454</v>
      </c>
      <c r="B51">
        <v>395</v>
      </c>
      <c r="C51" s="3">
        <v>91.429000000000002</v>
      </c>
      <c r="D51">
        <v>0.367999999999995</v>
      </c>
      <c r="E51" t="s">
        <v>10</v>
      </c>
      <c r="F51" t="s">
        <v>455</v>
      </c>
      <c r="G51" t="s">
        <v>456</v>
      </c>
      <c r="H51" t="str">
        <f>LEFT(I51, FIND(" sp.", I51) - 1)</f>
        <v>Trigonidiidae</v>
      </c>
      <c r="I51" t="s">
        <v>184</v>
      </c>
      <c r="J51" t="s">
        <v>2714</v>
      </c>
      <c r="K51" t="s">
        <v>2038</v>
      </c>
      <c r="L51" t="s">
        <v>2040</v>
      </c>
    </row>
    <row r="52" spans="1:12" ht="16" x14ac:dyDescent="0.2">
      <c r="A52" t="s">
        <v>765</v>
      </c>
      <c r="B52">
        <v>806</v>
      </c>
      <c r="C52" s="3">
        <v>91.429000000000002</v>
      </c>
      <c r="D52">
        <v>91.429000000000002</v>
      </c>
      <c r="H52" t="s">
        <v>581</v>
      </c>
      <c r="I52" t="s">
        <v>766</v>
      </c>
      <c r="J52" t="s">
        <v>2714</v>
      </c>
      <c r="K52" t="s">
        <v>2038</v>
      </c>
      <c r="L52" t="s">
        <v>2040</v>
      </c>
    </row>
    <row r="53" spans="1:12" ht="16" x14ac:dyDescent="0.2">
      <c r="A53" t="s">
        <v>753</v>
      </c>
      <c r="B53">
        <v>781</v>
      </c>
      <c r="C53" s="3">
        <v>91.429000000000002</v>
      </c>
      <c r="D53">
        <v>91.429000000000002</v>
      </c>
      <c r="H53" t="s">
        <v>754</v>
      </c>
      <c r="I53" t="s">
        <v>755</v>
      </c>
      <c r="J53" t="s">
        <v>2714</v>
      </c>
      <c r="K53" t="s">
        <v>2038</v>
      </c>
      <c r="L53" t="s">
        <v>2040</v>
      </c>
    </row>
    <row r="54" spans="1:12" ht="16" x14ac:dyDescent="0.2">
      <c r="A54" t="s">
        <v>1403</v>
      </c>
      <c r="B54">
        <v>1675</v>
      </c>
      <c r="C54" s="3">
        <v>91.429000000000002</v>
      </c>
      <c r="D54">
        <v>91.429000000000002</v>
      </c>
      <c r="H54" t="s">
        <v>1337</v>
      </c>
      <c r="I54" t="s">
        <v>1338</v>
      </c>
      <c r="J54" t="s">
        <v>2714</v>
      </c>
      <c r="K54" t="s">
        <v>2038</v>
      </c>
      <c r="L54" t="s">
        <v>2040</v>
      </c>
    </row>
    <row r="55" spans="1:12" ht="16" x14ac:dyDescent="0.2">
      <c r="A55" t="s">
        <v>1257</v>
      </c>
      <c r="B55">
        <v>1517</v>
      </c>
      <c r="C55" s="3">
        <v>91.429000000000002</v>
      </c>
      <c r="D55">
        <v>91.429000000000002</v>
      </c>
      <c r="H55" t="s">
        <v>11</v>
      </c>
      <c r="I55" t="s">
        <v>932</v>
      </c>
      <c r="J55" t="s">
        <v>2714</v>
      </c>
      <c r="K55" t="s">
        <v>2037</v>
      </c>
      <c r="L55" t="s">
        <v>10</v>
      </c>
    </row>
    <row r="56" spans="1:12" ht="16" x14ac:dyDescent="0.2">
      <c r="A56" t="s">
        <v>1193</v>
      </c>
      <c r="B56">
        <v>1430</v>
      </c>
      <c r="C56" s="3">
        <v>91.429000000000002</v>
      </c>
      <c r="D56">
        <v>0</v>
      </c>
      <c r="E56" t="s">
        <v>10</v>
      </c>
      <c r="F56" t="s">
        <v>10</v>
      </c>
      <c r="H56" t="s">
        <v>1194</v>
      </c>
      <c r="I56" t="s">
        <v>1195</v>
      </c>
      <c r="J56" t="s">
        <v>2714</v>
      </c>
      <c r="K56" t="s">
        <v>2037</v>
      </c>
      <c r="L56" t="s">
        <v>10</v>
      </c>
    </row>
    <row r="57" spans="1:12" ht="16" x14ac:dyDescent="0.2">
      <c r="A57" t="s">
        <v>302</v>
      </c>
      <c r="B57">
        <v>215</v>
      </c>
      <c r="C57" s="3">
        <v>91.444000000000003</v>
      </c>
      <c r="D57">
        <v>0.41800000000000598</v>
      </c>
      <c r="E57" t="s">
        <v>303</v>
      </c>
      <c r="F57" t="s">
        <v>304</v>
      </c>
      <c r="G57" t="s">
        <v>305</v>
      </c>
      <c r="H57" t="s">
        <v>284</v>
      </c>
      <c r="I57" t="s">
        <v>285</v>
      </c>
      <c r="J57" t="s">
        <v>2714</v>
      </c>
      <c r="K57" t="s">
        <v>2038</v>
      </c>
      <c r="L57" t="s">
        <v>2040</v>
      </c>
    </row>
    <row r="58" spans="1:12" ht="16" x14ac:dyDescent="0.2">
      <c r="A58" t="s">
        <v>103</v>
      </c>
      <c r="B58">
        <v>54</v>
      </c>
      <c r="C58" s="3">
        <v>91.489000000000004</v>
      </c>
      <c r="D58">
        <v>91.489000000000004</v>
      </c>
      <c r="H58" t="s">
        <v>104</v>
      </c>
      <c r="I58" t="s">
        <v>105</v>
      </c>
      <c r="J58" t="s">
        <v>2714</v>
      </c>
      <c r="K58" t="s">
        <v>2038</v>
      </c>
      <c r="L58" t="s">
        <v>2040</v>
      </c>
    </row>
    <row r="59" spans="1:12" ht="16" x14ac:dyDescent="0.2">
      <c r="A59" t="s">
        <v>385</v>
      </c>
      <c r="B59">
        <v>304</v>
      </c>
      <c r="C59" s="3">
        <v>91.525000000000006</v>
      </c>
      <c r="D59">
        <v>0</v>
      </c>
      <c r="E59" t="s">
        <v>10</v>
      </c>
      <c r="F59" t="s">
        <v>386</v>
      </c>
      <c r="G59" t="s">
        <v>387</v>
      </c>
      <c r="H59" t="str">
        <f>LEFT(I59, FIND(" sp.", I59) - 1)</f>
        <v>Lepidopsocidae</v>
      </c>
      <c r="I59" t="s">
        <v>388</v>
      </c>
      <c r="J59" t="s">
        <v>2714</v>
      </c>
      <c r="K59" t="s">
        <v>2038</v>
      </c>
      <c r="L59" t="s">
        <v>2040</v>
      </c>
    </row>
    <row r="60" spans="1:12" ht="16" x14ac:dyDescent="0.2">
      <c r="A60" t="s">
        <v>772</v>
      </c>
      <c r="B60">
        <v>815</v>
      </c>
      <c r="C60" s="3">
        <v>91.525000000000006</v>
      </c>
      <c r="D60">
        <v>91.525000000000006</v>
      </c>
      <c r="H60" t="s">
        <v>773</v>
      </c>
      <c r="I60" t="s">
        <v>774</v>
      </c>
      <c r="J60" t="s">
        <v>2714</v>
      </c>
      <c r="K60" t="s">
        <v>2038</v>
      </c>
      <c r="L60" t="s">
        <v>2040</v>
      </c>
    </row>
    <row r="61" spans="1:12" ht="16" x14ac:dyDescent="0.2">
      <c r="A61" t="s">
        <v>804</v>
      </c>
      <c r="B61">
        <v>863</v>
      </c>
      <c r="C61" s="3">
        <v>91.525000000000006</v>
      </c>
      <c r="D61">
        <v>0</v>
      </c>
      <c r="E61" t="s">
        <v>675</v>
      </c>
      <c r="F61" t="s">
        <v>805</v>
      </c>
      <c r="G61" t="s">
        <v>806</v>
      </c>
      <c r="H61" t="s">
        <v>696</v>
      </c>
      <c r="I61" t="s">
        <v>807</v>
      </c>
      <c r="J61" t="s">
        <v>2714</v>
      </c>
      <c r="K61" t="s">
        <v>2037</v>
      </c>
      <c r="L61" t="s">
        <v>10</v>
      </c>
    </row>
    <row r="62" spans="1:12" ht="16" x14ac:dyDescent="0.2">
      <c r="A62" t="s">
        <v>1865</v>
      </c>
      <c r="B62">
        <v>2303</v>
      </c>
      <c r="C62" s="3">
        <v>91.549000000000007</v>
      </c>
      <c r="D62">
        <v>91.549000000000007</v>
      </c>
      <c r="H62" t="s">
        <v>1866</v>
      </c>
      <c r="I62" t="s">
        <v>1867</v>
      </c>
      <c r="J62" t="s">
        <v>2714</v>
      </c>
      <c r="K62" t="s">
        <v>2037</v>
      </c>
      <c r="L62" t="s">
        <v>10</v>
      </c>
    </row>
    <row r="63" spans="1:12" ht="16" x14ac:dyDescent="0.2">
      <c r="A63" t="s">
        <v>83</v>
      </c>
      <c r="B63">
        <v>41</v>
      </c>
      <c r="C63" s="3">
        <v>91.62</v>
      </c>
      <c r="D63">
        <v>0.39200000000001001</v>
      </c>
      <c r="E63" t="s">
        <v>10</v>
      </c>
      <c r="F63" t="s">
        <v>10</v>
      </c>
      <c r="G63" t="s">
        <v>10</v>
      </c>
      <c r="H63" t="str">
        <f>LEFT(I63, FIND(" sp.", I63) - 1)</f>
        <v>Aleurodicinae</v>
      </c>
      <c r="I63" t="s">
        <v>56</v>
      </c>
      <c r="J63" t="s">
        <v>2714</v>
      </c>
      <c r="K63" t="s">
        <v>2038</v>
      </c>
      <c r="L63" t="s">
        <v>2040</v>
      </c>
    </row>
    <row r="64" spans="1:12" ht="16" x14ac:dyDescent="0.2">
      <c r="A64" t="s">
        <v>215</v>
      </c>
      <c r="B64">
        <v>153</v>
      </c>
      <c r="C64" s="3">
        <v>91.62</v>
      </c>
      <c r="D64">
        <v>0.55899999999999705</v>
      </c>
      <c r="E64" t="s">
        <v>10</v>
      </c>
      <c r="F64" t="s">
        <v>10</v>
      </c>
      <c r="G64" t="s">
        <v>10</v>
      </c>
      <c r="H64" t="s">
        <v>30</v>
      </c>
      <c r="I64" t="s">
        <v>31</v>
      </c>
      <c r="J64" t="s">
        <v>2714</v>
      </c>
      <c r="K64" t="s">
        <v>2038</v>
      </c>
      <c r="L64" t="s">
        <v>2040</v>
      </c>
    </row>
    <row r="65" spans="1:12" ht="16" x14ac:dyDescent="0.2">
      <c r="A65" t="s">
        <v>1149</v>
      </c>
      <c r="B65">
        <v>1380</v>
      </c>
      <c r="C65" s="3">
        <v>91.62</v>
      </c>
      <c r="D65">
        <v>91.62</v>
      </c>
      <c r="H65" t="s">
        <v>11</v>
      </c>
      <c r="I65" t="s">
        <v>1150</v>
      </c>
      <c r="J65" t="s">
        <v>2714</v>
      </c>
      <c r="K65" t="s">
        <v>2037</v>
      </c>
      <c r="L65" t="s">
        <v>10</v>
      </c>
    </row>
    <row r="66" spans="1:12" ht="16" x14ac:dyDescent="0.2">
      <c r="A66" t="s">
        <v>407</v>
      </c>
      <c r="B66">
        <v>330</v>
      </c>
      <c r="C66" s="3">
        <v>91.62</v>
      </c>
      <c r="D66">
        <v>91.62</v>
      </c>
      <c r="H66" t="s">
        <v>11</v>
      </c>
      <c r="I66" t="s">
        <v>187</v>
      </c>
      <c r="J66" t="s">
        <v>2714</v>
      </c>
      <c r="K66" t="s">
        <v>2037</v>
      </c>
      <c r="L66" t="s">
        <v>10</v>
      </c>
    </row>
    <row r="67" spans="1:12" ht="16" x14ac:dyDescent="0.2">
      <c r="A67" t="s">
        <v>662</v>
      </c>
      <c r="B67">
        <v>668</v>
      </c>
      <c r="C67" s="3">
        <v>91.667000000000002</v>
      </c>
      <c r="D67">
        <v>91.667000000000002</v>
      </c>
      <c r="H67" t="s">
        <v>47</v>
      </c>
      <c r="I67" t="s">
        <v>48</v>
      </c>
      <c r="J67" t="s">
        <v>2714</v>
      </c>
      <c r="K67" t="s">
        <v>2038</v>
      </c>
      <c r="L67" t="s">
        <v>2040</v>
      </c>
    </row>
    <row r="68" spans="1:12" ht="16" x14ac:dyDescent="0.2">
      <c r="A68" t="s">
        <v>752</v>
      </c>
      <c r="B68">
        <v>780</v>
      </c>
      <c r="C68" s="3">
        <v>91.667000000000002</v>
      </c>
      <c r="D68">
        <v>0.507000000000005</v>
      </c>
      <c r="E68" t="s">
        <v>10</v>
      </c>
      <c r="F68" t="s">
        <v>287</v>
      </c>
      <c r="G68" t="s">
        <v>288</v>
      </c>
      <c r="H68" t="s">
        <v>47</v>
      </c>
      <c r="I68" t="s">
        <v>48</v>
      </c>
      <c r="J68" t="s">
        <v>2714</v>
      </c>
      <c r="K68" t="s">
        <v>2038</v>
      </c>
      <c r="L68" t="s">
        <v>2040</v>
      </c>
    </row>
    <row r="69" spans="1:12" ht="16" x14ac:dyDescent="0.2">
      <c r="A69" t="s">
        <v>469</v>
      </c>
      <c r="B69">
        <v>417</v>
      </c>
      <c r="C69" s="3">
        <v>91.667000000000002</v>
      </c>
      <c r="D69">
        <v>0</v>
      </c>
      <c r="E69" t="s">
        <v>10</v>
      </c>
      <c r="F69" t="s">
        <v>10</v>
      </c>
      <c r="G69" t="s">
        <v>470</v>
      </c>
      <c r="H69" t="s">
        <v>472</v>
      </c>
      <c r="I69" t="s">
        <v>473</v>
      </c>
      <c r="J69" t="s">
        <v>2714</v>
      </c>
      <c r="K69" t="s">
        <v>2038</v>
      </c>
      <c r="L69" t="s">
        <v>2040</v>
      </c>
    </row>
    <row r="70" spans="1:12" ht="16" x14ac:dyDescent="0.2">
      <c r="A70" t="s">
        <v>1622</v>
      </c>
      <c r="B70">
        <v>1986</v>
      </c>
      <c r="C70" s="3">
        <v>91.667000000000002</v>
      </c>
      <c r="D70">
        <v>0</v>
      </c>
      <c r="E70" t="s">
        <v>720</v>
      </c>
      <c r="F70" t="s">
        <v>1623</v>
      </c>
      <c r="G70" t="s">
        <v>1624</v>
      </c>
      <c r="H70" t="s">
        <v>1587</v>
      </c>
      <c r="I70" t="s">
        <v>1588</v>
      </c>
      <c r="J70" t="s">
        <v>2714</v>
      </c>
      <c r="K70" t="s">
        <v>2038</v>
      </c>
      <c r="L70" t="s">
        <v>2040</v>
      </c>
    </row>
    <row r="71" spans="1:12" ht="16" x14ac:dyDescent="0.2">
      <c r="A71" t="s">
        <v>1957</v>
      </c>
      <c r="B71">
        <v>2431</v>
      </c>
      <c r="C71" s="3">
        <v>91.667000000000002</v>
      </c>
      <c r="D71">
        <v>0</v>
      </c>
      <c r="E71" t="s">
        <v>10</v>
      </c>
      <c r="F71" t="s">
        <v>10</v>
      </c>
      <c r="G71" t="s">
        <v>1889</v>
      </c>
      <c r="H71" t="s">
        <v>1890</v>
      </c>
      <c r="I71" t="s">
        <v>1891</v>
      </c>
      <c r="J71" t="s">
        <v>2714</v>
      </c>
      <c r="K71" t="s">
        <v>2038</v>
      </c>
      <c r="L71" t="s">
        <v>2040</v>
      </c>
    </row>
    <row r="72" spans="1:12" ht="16" x14ac:dyDescent="0.2">
      <c r="A72" t="s">
        <v>1715</v>
      </c>
      <c r="B72">
        <v>2117</v>
      </c>
      <c r="C72" s="3">
        <v>91.667000000000002</v>
      </c>
      <c r="D72">
        <v>91.667000000000002</v>
      </c>
      <c r="H72" t="s">
        <v>1716</v>
      </c>
      <c r="I72" t="s">
        <v>1717</v>
      </c>
      <c r="J72" t="s">
        <v>2714</v>
      </c>
      <c r="K72" t="s">
        <v>2038</v>
      </c>
      <c r="L72" t="s">
        <v>2040</v>
      </c>
    </row>
    <row r="73" spans="1:12" ht="16" x14ac:dyDescent="0.2">
      <c r="A73" t="s">
        <v>1089</v>
      </c>
      <c r="B73">
        <v>1288</v>
      </c>
      <c r="C73" s="3">
        <v>91.667000000000002</v>
      </c>
      <c r="D73">
        <v>91.667000000000002</v>
      </c>
      <c r="H73" t="s">
        <v>1090</v>
      </c>
      <c r="I73" t="s">
        <v>1091</v>
      </c>
      <c r="J73" t="s">
        <v>2714</v>
      </c>
      <c r="K73" t="s">
        <v>2038</v>
      </c>
      <c r="L73" t="s">
        <v>2040</v>
      </c>
    </row>
    <row r="74" spans="1:12" ht="16" x14ac:dyDescent="0.2">
      <c r="A74" t="s">
        <v>866</v>
      </c>
      <c r="B74">
        <v>941</v>
      </c>
      <c r="C74" s="3">
        <v>91.667000000000002</v>
      </c>
      <c r="D74">
        <v>91.667000000000002</v>
      </c>
      <c r="H74" t="str">
        <f>LEFT(I74, FIND(" sp.", I74) - 1)</f>
        <v>Stigmaeidae</v>
      </c>
      <c r="I74" t="s">
        <v>15</v>
      </c>
      <c r="J74" t="s">
        <v>2714</v>
      </c>
      <c r="K74" t="s">
        <v>2038</v>
      </c>
      <c r="L74" t="s">
        <v>2040</v>
      </c>
    </row>
    <row r="75" spans="1:12" ht="16" x14ac:dyDescent="0.2">
      <c r="A75" t="s">
        <v>1814</v>
      </c>
      <c r="B75">
        <v>2233</v>
      </c>
      <c r="C75" s="3">
        <v>91.667000000000002</v>
      </c>
      <c r="D75">
        <v>0</v>
      </c>
      <c r="E75" t="s">
        <v>10</v>
      </c>
      <c r="F75" t="s">
        <v>10</v>
      </c>
      <c r="G75" t="s">
        <v>1815</v>
      </c>
      <c r="H75" t="str">
        <f>LEFT(I75, FIND(" sp.", I75) - 1)</f>
        <v>Theridiidae</v>
      </c>
      <c r="I75" t="s">
        <v>1816</v>
      </c>
      <c r="J75" t="s">
        <v>2714</v>
      </c>
      <c r="K75" t="s">
        <v>2038</v>
      </c>
      <c r="L75" t="s">
        <v>2040</v>
      </c>
    </row>
    <row r="76" spans="1:12" ht="16" x14ac:dyDescent="0.2">
      <c r="A76" t="s">
        <v>961</v>
      </c>
      <c r="B76">
        <v>1081</v>
      </c>
      <c r="C76" s="3">
        <v>91.667000000000002</v>
      </c>
      <c r="D76">
        <v>4.6999999999997003E-2</v>
      </c>
      <c r="E76" t="s">
        <v>10</v>
      </c>
      <c r="F76" t="s">
        <v>10</v>
      </c>
      <c r="G76" t="s">
        <v>17</v>
      </c>
      <c r="H76" t="s">
        <v>12</v>
      </c>
      <c r="I76" t="s">
        <v>18</v>
      </c>
      <c r="J76" t="s">
        <v>2714</v>
      </c>
      <c r="K76" t="s">
        <v>2038</v>
      </c>
      <c r="L76" t="s">
        <v>2040</v>
      </c>
    </row>
    <row r="77" spans="1:12" ht="16" x14ac:dyDescent="0.2">
      <c r="A77" t="s">
        <v>1118</v>
      </c>
      <c r="B77">
        <v>1322</v>
      </c>
      <c r="C77" s="3">
        <v>91.667000000000002</v>
      </c>
      <c r="D77">
        <v>0.45799999999999802</v>
      </c>
      <c r="E77" t="s">
        <v>1119</v>
      </c>
      <c r="F77" t="s">
        <v>1120</v>
      </c>
      <c r="G77" t="s">
        <v>1121</v>
      </c>
      <c r="H77" t="s">
        <v>1123</v>
      </c>
      <c r="I77" t="s">
        <v>1124</v>
      </c>
      <c r="J77" t="s">
        <v>2714</v>
      </c>
      <c r="K77" t="s">
        <v>2038</v>
      </c>
      <c r="L77" t="s">
        <v>2040</v>
      </c>
    </row>
    <row r="78" spans="1:12" ht="16" x14ac:dyDescent="0.2">
      <c r="A78" t="s">
        <v>482</v>
      </c>
      <c r="B78">
        <v>432</v>
      </c>
      <c r="C78" s="3">
        <v>91.667000000000002</v>
      </c>
      <c r="D78">
        <v>0.55599999999999705</v>
      </c>
      <c r="E78" t="s">
        <v>10</v>
      </c>
      <c r="F78" t="s">
        <v>10</v>
      </c>
      <c r="G78" t="s">
        <v>10</v>
      </c>
      <c r="H78" t="s">
        <v>483</v>
      </c>
      <c r="I78" t="s">
        <v>484</v>
      </c>
      <c r="J78" t="s">
        <v>2714</v>
      </c>
      <c r="K78" t="s">
        <v>2038</v>
      </c>
      <c r="L78" t="s">
        <v>2040</v>
      </c>
    </row>
    <row r="79" spans="1:12" ht="16" x14ac:dyDescent="0.2">
      <c r="A79" t="s">
        <v>420</v>
      </c>
      <c r="B79">
        <v>352</v>
      </c>
      <c r="C79" s="3">
        <v>91.712999999999994</v>
      </c>
      <c r="D79">
        <v>91.712999999999994</v>
      </c>
      <c r="H79" t="s">
        <v>364</v>
      </c>
      <c r="I79" t="s">
        <v>365</v>
      </c>
      <c r="J79" t="s">
        <v>2714</v>
      </c>
      <c r="K79" t="s">
        <v>2038</v>
      </c>
      <c r="L79" t="s">
        <v>2040</v>
      </c>
    </row>
    <row r="80" spans="1:12" ht="16" x14ac:dyDescent="0.2">
      <c r="A80" t="s">
        <v>440</v>
      </c>
      <c r="B80">
        <v>370</v>
      </c>
      <c r="C80" s="3">
        <v>91.712999999999994</v>
      </c>
      <c r="D80">
        <v>91.712999999999994</v>
      </c>
      <c r="H80" t="s">
        <v>364</v>
      </c>
      <c r="I80" t="s">
        <v>365</v>
      </c>
      <c r="J80" t="s">
        <v>2714</v>
      </c>
      <c r="K80" t="s">
        <v>2038</v>
      </c>
      <c r="L80" t="s">
        <v>2040</v>
      </c>
    </row>
    <row r="81" spans="1:12" ht="16" x14ac:dyDescent="0.2">
      <c r="A81" t="s">
        <v>492</v>
      </c>
      <c r="B81">
        <v>465</v>
      </c>
      <c r="C81" s="3">
        <v>91.712999999999994</v>
      </c>
      <c r="D81">
        <v>0.60199999999998999</v>
      </c>
      <c r="E81" t="s">
        <v>79</v>
      </c>
      <c r="F81" t="s">
        <v>11</v>
      </c>
      <c r="G81" t="s">
        <v>493</v>
      </c>
      <c r="H81" t="s">
        <v>364</v>
      </c>
      <c r="I81" t="s">
        <v>365</v>
      </c>
      <c r="J81" t="s">
        <v>2714</v>
      </c>
      <c r="K81" t="s">
        <v>2038</v>
      </c>
      <c r="L81" t="s">
        <v>2040</v>
      </c>
    </row>
    <row r="82" spans="1:12" ht="16" x14ac:dyDescent="0.2">
      <c r="A82" t="s">
        <v>892</v>
      </c>
      <c r="B82">
        <v>992</v>
      </c>
      <c r="C82" s="3">
        <v>91.712999999999994</v>
      </c>
      <c r="D82">
        <v>91.712999999999994</v>
      </c>
      <c r="H82" t="s">
        <v>364</v>
      </c>
      <c r="I82" t="s">
        <v>365</v>
      </c>
      <c r="J82" t="s">
        <v>2714</v>
      </c>
      <c r="K82" t="s">
        <v>2038</v>
      </c>
      <c r="L82" t="s">
        <v>2040</v>
      </c>
    </row>
    <row r="83" spans="1:12" ht="16" x14ac:dyDescent="0.2">
      <c r="A83" t="s">
        <v>51</v>
      </c>
      <c r="B83">
        <v>22</v>
      </c>
      <c r="C83" s="3">
        <v>91.712999999999994</v>
      </c>
      <c r="D83">
        <v>0.60199999999998999</v>
      </c>
      <c r="E83" t="s">
        <v>10</v>
      </c>
      <c r="F83" t="s">
        <v>52</v>
      </c>
      <c r="G83" t="s">
        <v>53</v>
      </c>
      <c r="H83" t="s">
        <v>11</v>
      </c>
      <c r="I83" t="s">
        <v>54</v>
      </c>
      <c r="J83" t="s">
        <v>2714</v>
      </c>
      <c r="K83" t="s">
        <v>2038</v>
      </c>
      <c r="L83" t="s">
        <v>2040</v>
      </c>
    </row>
    <row r="84" spans="1:12" ht="16" x14ac:dyDescent="0.2">
      <c r="A84" t="s">
        <v>191</v>
      </c>
      <c r="B84">
        <v>134</v>
      </c>
      <c r="C84" s="3">
        <v>91.712999999999994</v>
      </c>
      <c r="D84">
        <v>91.712999999999994</v>
      </c>
      <c r="H84" t="s">
        <v>192</v>
      </c>
      <c r="I84" t="s">
        <v>193</v>
      </c>
      <c r="J84" t="s">
        <v>2714</v>
      </c>
      <c r="K84" t="s">
        <v>2038</v>
      </c>
      <c r="L84" t="s">
        <v>2040</v>
      </c>
    </row>
    <row r="85" spans="1:12" ht="16" x14ac:dyDescent="0.2">
      <c r="A85" t="s">
        <v>1602</v>
      </c>
      <c r="B85">
        <v>1973</v>
      </c>
      <c r="C85" s="3">
        <v>91.712999999999994</v>
      </c>
      <c r="D85">
        <v>0.55299999999999705</v>
      </c>
      <c r="E85" t="s">
        <v>10</v>
      </c>
      <c r="F85" t="s">
        <v>10</v>
      </c>
      <c r="G85" t="s">
        <v>1603</v>
      </c>
      <c r="H85" t="s">
        <v>1604</v>
      </c>
      <c r="I85" t="s">
        <v>1605</v>
      </c>
      <c r="J85" t="s">
        <v>2714</v>
      </c>
      <c r="K85" t="s">
        <v>2037</v>
      </c>
      <c r="L85" t="s">
        <v>10</v>
      </c>
    </row>
    <row r="86" spans="1:12" ht="16" x14ac:dyDescent="0.2">
      <c r="A86" t="s">
        <v>1797</v>
      </c>
      <c r="B86">
        <v>2214</v>
      </c>
      <c r="C86" s="3">
        <v>91.712999999999994</v>
      </c>
      <c r="D86">
        <v>91.712999999999994</v>
      </c>
      <c r="H86" t="s">
        <v>67</v>
      </c>
      <c r="I86" t="s">
        <v>68</v>
      </c>
      <c r="J86" t="s">
        <v>2714</v>
      </c>
      <c r="K86" t="s">
        <v>2037</v>
      </c>
      <c r="L86" t="s">
        <v>10</v>
      </c>
    </row>
    <row r="87" spans="1:12" ht="16" x14ac:dyDescent="0.2">
      <c r="A87" t="s">
        <v>1919</v>
      </c>
      <c r="B87">
        <v>2360</v>
      </c>
      <c r="C87" s="3">
        <v>91.712999999999994</v>
      </c>
      <c r="D87">
        <v>4.5999999999992297E-2</v>
      </c>
      <c r="E87" t="s">
        <v>10</v>
      </c>
      <c r="F87" t="s">
        <v>10</v>
      </c>
      <c r="H87" t="s">
        <v>11</v>
      </c>
      <c r="I87" t="s">
        <v>1197</v>
      </c>
      <c r="J87" t="s">
        <v>2714</v>
      </c>
      <c r="K87" t="s">
        <v>2037</v>
      </c>
      <c r="L87" t="s">
        <v>10</v>
      </c>
    </row>
    <row r="88" spans="1:12" ht="16" x14ac:dyDescent="0.2">
      <c r="A88" t="s">
        <v>1092</v>
      </c>
      <c r="B88">
        <v>1291</v>
      </c>
      <c r="C88" s="3">
        <v>91.712999999999994</v>
      </c>
      <c r="D88">
        <v>0.60199999999998999</v>
      </c>
      <c r="E88" t="s">
        <v>46</v>
      </c>
      <c r="F88" t="s">
        <v>455</v>
      </c>
      <c r="G88" t="s">
        <v>1093</v>
      </c>
      <c r="H88" t="s">
        <v>11</v>
      </c>
      <c r="I88" t="s">
        <v>50</v>
      </c>
      <c r="J88" t="s">
        <v>2714</v>
      </c>
      <c r="K88" t="s">
        <v>2037</v>
      </c>
      <c r="L88" t="s">
        <v>10</v>
      </c>
    </row>
    <row r="89" spans="1:12" ht="16" x14ac:dyDescent="0.2">
      <c r="A89" t="s">
        <v>1006</v>
      </c>
      <c r="B89">
        <v>1164</v>
      </c>
      <c r="C89" s="3">
        <v>91.712999999999994</v>
      </c>
      <c r="D89">
        <v>0.18799999999998801</v>
      </c>
      <c r="E89" t="s">
        <v>10</v>
      </c>
      <c r="F89" t="s">
        <v>10</v>
      </c>
      <c r="G89" t="s">
        <v>1007</v>
      </c>
      <c r="H89" t="s">
        <v>11</v>
      </c>
      <c r="I89" t="s">
        <v>1008</v>
      </c>
      <c r="J89" t="s">
        <v>2714</v>
      </c>
      <c r="K89" t="s">
        <v>2037</v>
      </c>
      <c r="L89" t="s">
        <v>10</v>
      </c>
    </row>
    <row r="90" spans="1:12" ht="16" x14ac:dyDescent="0.2">
      <c r="A90" t="s">
        <v>1272</v>
      </c>
      <c r="B90">
        <v>1534</v>
      </c>
      <c r="C90" s="3">
        <v>91.712999999999994</v>
      </c>
      <c r="D90">
        <v>91.712999999999994</v>
      </c>
      <c r="H90" t="s">
        <v>11</v>
      </c>
      <c r="I90" t="s">
        <v>187</v>
      </c>
      <c r="J90" t="s">
        <v>2714</v>
      </c>
      <c r="K90" t="s">
        <v>2037</v>
      </c>
      <c r="L90" t="s">
        <v>10</v>
      </c>
    </row>
    <row r="91" spans="1:12" ht="16" x14ac:dyDescent="0.2">
      <c r="A91" t="s">
        <v>1036</v>
      </c>
      <c r="B91">
        <v>1218</v>
      </c>
      <c r="C91" s="3">
        <v>91.712999999999994</v>
      </c>
      <c r="D91">
        <v>0.55299999999999705</v>
      </c>
      <c r="E91" t="s">
        <v>10</v>
      </c>
      <c r="F91" t="s">
        <v>10</v>
      </c>
      <c r="G91" t="s">
        <v>10</v>
      </c>
      <c r="H91" t="s">
        <v>396</v>
      </c>
      <c r="I91" t="s">
        <v>397</v>
      </c>
      <c r="J91" t="s">
        <v>2714</v>
      </c>
      <c r="K91" t="s">
        <v>2037</v>
      </c>
      <c r="L91" t="s">
        <v>10</v>
      </c>
    </row>
    <row r="92" spans="1:12" ht="16" x14ac:dyDescent="0.2">
      <c r="A92" t="s">
        <v>794</v>
      </c>
      <c r="B92">
        <v>843</v>
      </c>
      <c r="C92" s="3">
        <v>91.712999999999994</v>
      </c>
      <c r="D92">
        <v>0.55299999999999705</v>
      </c>
      <c r="E92" t="s">
        <v>10</v>
      </c>
      <c r="F92" t="s">
        <v>10</v>
      </c>
      <c r="G92" t="s">
        <v>10</v>
      </c>
      <c r="H92" t="s">
        <v>396</v>
      </c>
      <c r="I92" t="s">
        <v>397</v>
      </c>
      <c r="J92" t="s">
        <v>2714</v>
      </c>
      <c r="K92" t="s">
        <v>2037</v>
      </c>
      <c r="L92" t="s">
        <v>10</v>
      </c>
    </row>
    <row r="93" spans="1:12" ht="16" x14ac:dyDescent="0.2">
      <c r="A93" t="s">
        <v>795</v>
      </c>
      <c r="B93">
        <v>847</v>
      </c>
      <c r="C93" s="3">
        <v>91.712999999999994</v>
      </c>
      <c r="D93">
        <v>0.55299999999999705</v>
      </c>
      <c r="E93" t="s">
        <v>10</v>
      </c>
      <c r="F93" t="s">
        <v>10</v>
      </c>
      <c r="G93" t="s">
        <v>10</v>
      </c>
      <c r="H93" t="s">
        <v>396</v>
      </c>
      <c r="I93" t="s">
        <v>397</v>
      </c>
      <c r="J93" t="s">
        <v>2714</v>
      </c>
      <c r="K93" t="s">
        <v>2037</v>
      </c>
      <c r="L93" t="s">
        <v>10</v>
      </c>
    </row>
    <row r="94" spans="1:12" ht="16" x14ac:dyDescent="0.2">
      <c r="A94" t="s">
        <v>1336</v>
      </c>
      <c r="B94">
        <v>1579</v>
      </c>
      <c r="C94" s="3">
        <v>91.765000000000001</v>
      </c>
      <c r="D94">
        <v>0.33599999999999902</v>
      </c>
      <c r="E94" t="s">
        <v>10</v>
      </c>
      <c r="F94" t="s">
        <v>10</v>
      </c>
      <c r="G94" t="s">
        <v>10</v>
      </c>
      <c r="H94" t="s">
        <v>1337</v>
      </c>
      <c r="I94" t="s">
        <v>1338</v>
      </c>
      <c r="J94" t="s">
        <v>2714</v>
      </c>
      <c r="K94" t="s">
        <v>2038</v>
      </c>
      <c r="L94" t="s">
        <v>2040</v>
      </c>
    </row>
    <row r="95" spans="1:12" ht="16" x14ac:dyDescent="0.2">
      <c r="A95" t="s">
        <v>1795</v>
      </c>
      <c r="B95">
        <v>2209</v>
      </c>
      <c r="C95" s="3">
        <v>91.781000000000006</v>
      </c>
      <c r="D95">
        <v>91.781000000000006</v>
      </c>
      <c r="H95" t="s">
        <v>196</v>
      </c>
      <c r="I95" t="s">
        <v>1796</v>
      </c>
      <c r="J95" t="s">
        <v>2714</v>
      </c>
      <c r="K95" t="s">
        <v>2038</v>
      </c>
      <c r="L95" t="s">
        <v>2040</v>
      </c>
    </row>
    <row r="96" spans="1:12" ht="16" x14ac:dyDescent="0.2">
      <c r="A96" t="s">
        <v>722</v>
      </c>
      <c r="B96">
        <v>736</v>
      </c>
      <c r="C96" s="3">
        <v>91.802999999999997</v>
      </c>
      <c r="D96">
        <v>91.802999999999997</v>
      </c>
      <c r="H96" t="s">
        <v>723</v>
      </c>
      <c r="I96" t="s">
        <v>724</v>
      </c>
      <c r="J96" t="s">
        <v>2714</v>
      </c>
      <c r="K96" t="s">
        <v>2038</v>
      </c>
      <c r="L96" t="s">
        <v>2040</v>
      </c>
    </row>
    <row r="97" spans="1:12" ht="16" x14ac:dyDescent="0.2">
      <c r="A97" t="s">
        <v>261</v>
      </c>
      <c r="B97">
        <v>182</v>
      </c>
      <c r="C97" s="3">
        <v>91.802999999999997</v>
      </c>
      <c r="D97">
        <v>0.79200000000000204</v>
      </c>
      <c r="E97" t="s">
        <v>10</v>
      </c>
      <c r="F97" t="s">
        <v>10</v>
      </c>
      <c r="G97" t="s">
        <v>10</v>
      </c>
      <c r="H97" t="s">
        <v>20</v>
      </c>
      <c r="I97" t="s">
        <v>262</v>
      </c>
      <c r="J97" t="s">
        <v>2714</v>
      </c>
      <c r="K97" t="s">
        <v>2038</v>
      </c>
      <c r="L97" t="s">
        <v>2040</v>
      </c>
    </row>
    <row r="98" spans="1:12" ht="16" x14ac:dyDescent="0.2">
      <c r="A98" t="s">
        <v>513</v>
      </c>
      <c r="B98">
        <v>490</v>
      </c>
      <c r="C98" s="3">
        <v>91.802999999999997</v>
      </c>
      <c r="D98">
        <v>91.802999999999997</v>
      </c>
      <c r="H98" t="s">
        <v>514</v>
      </c>
      <c r="I98" t="s">
        <v>515</v>
      </c>
      <c r="J98" t="s">
        <v>2714</v>
      </c>
      <c r="K98" t="s">
        <v>2037</v>
      </c>
      <c r="L98" t="s">
        <v>10</v>
      </c>
    </row>
    <row r="99" spans="1:12" ht="16" x14ac:dyDescent="0.2">
      <c r="A99" t="s">
        <v>648</v>
      </c>
      <c r="B99">
        <v>651</v>
      </c>
      <c r="C99" s="3">
        <v>91.802999999999997</v>
      </c>
      <c r="D99">
        <v>91.802999999999997</v>
      </c>
      <c r="H99" t="s">
        <v>514</v>
      </c>
      <c r="I99" t="s">
        <v>515</v>
      </c>
      <c r="J99" t="s">
        <v>2714</v>
      </c>
      <c r="K99" t="s">
        <v>2037</v>
      </c>
      <c r="L99" t="s">
        <v>10</v>
      </c>
    </row>
    <row r="100" spans="1:12" ht="16" x14ac:dyDescent="0.2">
      <c r="A100" t="s">
        <v>716</v>
      </c>
      <c r="B100">
        <v>726</v>
      </c>
      <c r="C100" s="3">
        <v>91.802999999999997</v>
      </c>
      <c r="D100">
        <v>91.802999999999997</v>
      </c>
      <c r="H100" t="s">
        <v>514</v>
      </c>
      <c r="I100" t="s">
        <v>515</v>
      </c>
      <c r="J100" t="s">
        <v>2714</v>
      </c>
      <c r="K100" t="s">
        <v>2037</v>
      </c>
      <c r="L100" t="s">
        <v>10</v>
      </c>
    </row>
    <row r="101" spans="1:12" ht="16" x14ac:dyDescent="0.2">
      <c r="A101" t="s">
        <v>743</v>
      </c>
      <c r="B101">
        <v>768</v>
      </c>
      <c r="C101" s="3">
        <v>91.802999999999997</v>
      </c>
      <c r="D101">
        <v>0</v>
      </c>
      <c r="E101" t="s">
        <v>10</v>
      </c>
      <c r="F101" t="s">
        <v>10</v>
      </c>
      <c r="G101" t="s">
        <v>744</v>
      </c>
      <c r="H101" t="s">
        <v>11</v>
      </c>
      <c r="I101" t="s">
        <v>745</v>
      </c>
      <c r="J101" t="s">
        <v>2714</v>
      </c>
      <c r="K101" t="s">
        <v>2037</v>
      </c>
      <c r="L101" t="s">
        <v>10</v>
      </c>
    </row>
    <row r="102" spans="1:12" ht="16" x14ac:dyDescent="0.2">
      <c r="A102" t="s">
        <v>1781</v>
      </c>
      <c r="B102">
        <v>2194</v>
      </c>
      <c r="C102" s="3">
        <v>91.802999999999997</v>
      </c>
      <c r="D102">
        <v>0.13599999999999601</v>
      </c>
      <c r="E102" t="s">
        <v>1122</v>
      </c>
      <c r="F102" t="s">
        <v>1782</v>
      </c>
      <c r="G102" t="s">
        <v>1783</v>
      </c>
      <c r="H102" t="s">
        <v>11</v>
      </c>
      <c r="I102" t="s">
        <v>1784</v>
      </c>
      <c r="J102" t="s">
        <v>2714</v>
      </c>
      <c r="K102" t="s">
        <v>2037</v>
      </c>
      <c r="L102" t="s">
        <v>10</v>
      </c>
    </row>
    <row r="103" spans="1:12" ht="16" x14ac:dyDescent="0.2">
      <c r="A103" t="s">
        <v>749</v>
      </c>
      <c r="B103">
        <v>775</v>
      </c>
      <c r="C103" s="3">
        <v>91.837000000000003</v>
      </c>
      <c r="D103">
        <v>91.837000000000003</v>
      </c>
      <c r="H103" t="s">
        <v>750</v>
      </c>
      <c r="I103" t="s">
        <v>751</v>
      </c>
      <c r="J103" t="s">
        <v>2714</v>
      </c>
      <c r="K103" t="s">
        <v>2037</v>
      </c>
      <c r="L103" t="s">
        <v>10</v>
      </c>
    </row>
    <row r="104" spans="1:12" ht="16" x14ac:dyDescent="0.2">
      <c r="A104" t="s">
        <v>188</v>
      </c>
      <c r="B104">
        <v>133</v>
      </c>
      <c r="C104" s="3">
        <v>91.86</v>
      </c>
      <c r="D104">
        <v>91.86</v>
      </c>
      <c r="H104" t="s">
        <v>189</v>
      </c>
      <c r="I104" t="s">
        <v>190</v>
      </c>
      <c r="J104" t="s">
        <v>2714</v>
      </c>
      <c r="K104" t="s">
        <v>2038</v>
      </c>
      <c r="L104" t="s">
        <v>2040</v>
      </c>
    </row>
    <row r="105" spans="1:12" ht="16" x14ac:dyDescent="0.2">
      <c r="A105" t="s">
        <v>194</v>
      </c>
      <c r="B105">
        <v>137</v>
      </c>
      <c r="C105" s="3">
        <v>91.891999999999996</v>
      </c>
      <c r="D105">
        <v>0</v>
      </c>
      <c r="E105" t="s">
        <v>195</v>
      </c>
      <c r="F105" t="s">
        <v>196</v>
      </c>
      <c r="G105" t="s">
        <v>197</v>
      </c>
      <c r="H105" t="s">
        <v>199</v>
      </c>
      <c r="I105" t="s">
        <v>200</v>
      </c>
      <c r="J105" t="s">
        <v>2714</v>
      </c>
      <c r="K105" t="s">
        <v>2038</v>
      </c>
      <c r="L105" t="s">
        <v>2040</v>
      </c>
    </row>
    <row r="106" spans="1:12" ht="16" x14ac:dyDescent="0.2">
      <c r="A106" t="s">
        <v>845</v>
      </c>
      <c r="B106">
        <v>908</v>
      </c>
      <c r="C106" s="3">
        <v>91.891999999999996</v>
      </c>
      <c r="D106">
        <v>0.44799999999999301</v>
      </c>
      <c r="E106" t="s">
        <v>283</v>
      </c>
      <c r="F106" t="s">
        <v>284</v>
      </c>
      <c r="G106" t="s">
        <v>285</v>
      </c>
      <c r="H106" t="s">
        <v>304</v>
      </c>
      <c r="I106" t="s">
        <v>305</v>
      </c>
      <c r="J106" t="s">
        <v>2714</v>
      </c>
      <c r="K106" t="s">
        <v>2038</v>
      </c>
      <c r="L106" t="s">
        <v>2040</v>
      </c>
    </row>
    <row r="107" spans="1:12" ht="16" x14ac:dyDescent="0.2">
      <c r="A107" t="s">
        <v>583</v>
      </c>
      <c r="B107">
        <v>588</v>
      </c>
      <c r="C107" s="3">
        <v>91.891999999999996</v>
      </c>
      <c r="D107">
        <v>91.891999999999996</v>
      </c>
      <c r="H107" t="s">
        <v>584</v>
      </c>
      <c r="I107" t="s">
        <v>585</v>
      </c>
      <c r="J107" t="s">
        <v>2714</v>
      </c>
      <c r="K107" t="s">
        <v>2038</v>
      </c>
      <c r="L107" t="s">
        <v>2040</v>
      </c>
    </row>
    <row r="108" spans="1:12" ht="16" x14ac:dyDescent="0.2">
      <c r="A108" t="s">
        <v>566</v>
      </c>
      <c r="B108">
        <v>572</v>
      </c>
      <c r="C108" s="3">
        <v>91.924999999999997</v>
      </c>
      <c r="D108">
        <v>0.21200000000000299</v>
      </c>
      <c r="E108" t="s">
        <v>64</v>
      </c>
      <c r="F108" t="s">
        <v>10</v>
      </c>
      <c r="G108" t="s">
        <v>567</v>
      </c>
      <c r="H108" t="str">
        <f>LEFT(I108, FIND(" sp.", I108) - 1)</f>
        <v>Acariformes</v>
      </c>
      <c r="I108" t="s">
        <v>568</v>
      </c>
      <c r="J108" t="s">
        <v>2714</v>
      </c>
      <c r="K108" t="s">
        <v>2038</v>
      </c>
      <c r="L108" t="s">
        <v>2040</v>
      </c>
    </row>
    <row r="109" spans="1:12" ht="16" x14ac:dyDescent="0.2">
      <c r="A109" t="s">
        <v>1339</v>
      </c>
      <c r="B109">
        <v>1582</v>
      </c>
      <c r="C109" s="3">
        <v>91.935000000000002</v>
      </c>
      <c r="D109">
        <v>91.935000000000002</v>
      </c>
      <c r="J109" t="s">
        <v>2714</v>
      </c>
      <c r="K109" t="s">
        <v>2038</v>
      </c>
      <c r="L109" t="s">
        <v>2040</v>
      </c>
    </row>
    <row r="110" spans="1:12" ht="16" x14ac:dyDescent="0.2">
      <c r="A110" t="s">
        <v>423</v>
      </c>
      <c r="B110">
        <v>358</v>
      </c>
      <c r="C110" s="3">
        <v>91.953999999999994</v>
      </c>
      <c r="D110">
        <v>0.84299999999998898</v>
      </c>
      <c r="E110" t="s">
        <v>10</v>
      </c>
      <c r="F110" t="s">
        <v>424</v>
      </c>
      <c r="G110" t="s">
        <v>425</v>
      </c>
      <c r="H110" t="s">
        <v>426</v>
      </c>
      <c r="I110" t="s">
        <v>427</v>
      </c>
      <c r="J110" t="s">
        <v>2714</v>
      </c>
      <c r="K110" t="s">
        <v>2038</v>
      </c>
      <c r="L110" t="s">
        <v>2040</v>
      </c>
    </row>
    <row r="111" spans="1:12" ht="16" x14ac:dyDescent="0.2">
      <c r="A111" t="s">
        <v>181</v>
      </c>
      <c r="B111">
        <v>126</v>
      </c>
      <c r="C111" s="3">
        <v>92</v>
      </c>
      <c r="D111">
        <v>0.93899999999999295</v>
      </c>
      <c r="E111" t="s">
        <v>79</v>
      </c>
      <c r="F111" t="s">
        <v>182</v>
      </c>
      <c r="G111" t="s">
        <v>183</v>
      </c>
      <c r="H111" t="str">
        <f>LEFT(I111, FIND(" sp.", I111) - 1)</f>
        <v>Trigonidiidae</v>
      </c>
      <c r="I111" t="s">
        <v>184</v>
      </c>
      <c r="J111" t="s">
        <v>2714</v>
      </c>
      <c r="K111" t="s">
        <v>2038</v>
      </c>
      <c r="L111" t="s">
        <v>2040</v>
      </c>
    </row>
    <row r="112" spans="1:12" ht="16" x14ac:dyDescent="0.2">
      <c r="A112" t="s">
        <v>1018</v>
      </c>
      <c r="B112">
        <v>1198</v>
      </c>
      <c r="C112" s="3">
        <v>92</v>
      </c>
      <c r="D112">
        <v>0</v>
      </c>
      <c r="E112" t="s">
        <v>10</v>
      </c>
      <c r="F112" t="s">
        <v>10</v>
      </c>
      <c r="G112" t="s">
        <v>1019</v>
      </c>
      <c r="H112" t="str">
        <f>LEFT(I112, FIND(" sp.", I112) - 1)</f>
        <v>Platygastridae</v>
      </c>
      <c r="I112" t="s">
        <v>1020</v>
      </c>
      <c r="J112" t="s">
        <v>2714</v>
      </c>
      <c r="K112" t="s">
        <v>2038</v>
      </c>
      <c r="L112" t="s">
        <v>2040</v>
      </c>
    </row>
    <row r="113" spans="1:12" ht="16" x14ac:dyDescent="0.2">
      <c r="A113" t="s">
        <v>1954</v>
      </c>
      <c r="B113">
        <v>2426</v>
      </c>
      <c r="C113" s="3">
        <v>92</v>
      </c>
      <c r="D113">
        <v>0.108000000000004</v>
      </c>
      <c r="E113" t="s">
        <v>10</v>
      </c>
      <c r="F113" t="s">
        <v>11</v>
      </c>
      <c r="G113" t="s">
        <v>1955</v>
      </c>
      <c r="H113" t="s">
        <v>1739</v>
      </c>
      <c r="I113" t="s">
        <v>1956</v>
      </c>
      <c r="J113" t="s">
        <v>2714</v>
      </c>
      <c r="K113" t="s">
        <v>2038</v>
      </c>
      <c r="L113" t="s">
        <v>2040</v>
      </c>
    </row>
    <row r="114" spans="1:12" ht="16" x14ac:dyDescent="0.2">
      <c r="A114" t="s">
        <v>1991</v>
      </c>
      <c r="B114">
        <v>2520</v>
      </c>
      <c r="C114" s="3">
        <v>92.09</v>
      </c>
      <c r="D114">
        <v>92.09</v>
      </c>
      <c r="H114" t="s">
        <v>1992</v>
      </c>
      <c r="I114" t="s">
        <v>1993</v>
      </c>
      <c r="J114" t="s">
        <v>2714</v>
      </c>
      <c r="K114" t="s">
        <v>2038</v>
      </c>
      <c r="L114" t="s">
        <v>2040</v>
      </c>
    </row>
    <row r="115" spans="1:12" ht="16" x14ac:dyDescent="0.2">
      <c r="A115" t="s">
        <v>434</v>
      </c>
      <c r="B115">
        <v>366</v>
      </c>
      <c r="C115" s="3">
        <v>92.179000000000002</v>
      </c>
      <c r="D115">
        <v>0.36599999999999999</v>
      </c>
      <c r="E115" t="s">
        <v>10</v>
      </c>
      <c r="F115" t="s">
        <v>10</v>
      </c>
      <c r="G115" t="s">
        <v>10</v>
      </c>
      <c r="H115" t="str">
        <f>LEFT(I115, FIND(" sp.", I115) - 1)</f>
        <v>Aleurodicinae</v>
      </c>
      <c r="I115" t="s">
        <v>56</v>
      </c>
      <c r="J115" t="s">
        <v>2714</v>
      </c>
      <c r="K115" t="s">
        <v>2038</v>
      </c>
      <c r="L115" t="s">
        <v>2040</v>
      </c>
    </row>
    <row r="116" spans="1:12" ht="16" x14ac:dyDescent="0.2">
      <c r="A116" t="s">
        <v>580</v>
      </c>
      <c r="B116">
        <v>582</v>
      </c>
      <c r="C116" s="3">
        <v>92.179000000000002</v>
      </c>
      <c r="D116">
        <v>0.55899999999999705</v>
      </c>
      <c r="E116" t="s">
        <v>10</v>
      </c>
      <c r="F116" t="s">
        <v>10</v>
      </c>
      <c r="G116" t="s">
        <v>10</v>
      </c>
      <c r="H116" t="s">
        <v>581</v>
      </c>
      <c r="I116" t="s">
        <v>582</v>
      </c>
      <c r="J116" t="s">
        <v>2714</v>
      </c>
      <c r="K116" t="s">
        <v>2038</v>
      </c>
      <c r="L116" t="s">
        <v>2040</v>
      </c>
    </row>
    <row r="117" spans="1:12" ht="16" x14ac:dyDescent="0.2">
      <c r="A117" t="s">
        <v>29</v>
      </c>
      <c r="B117">
        <v>16</v>
      </c>
      <c r="C117" s="3">
        <v>92.179000000000002</v>
      </c>
      <c r="D117">
        <v>0.55899999999999705</v>
      </c>
      <c r="E117" t="s">
        <v>10</v>
      </c>
      <c r="F117" t="s">
        <v>10</v>
      </c>
      <c r="G117" t="s">
        <v>10</v>
      </c>
      <c r="H117" t="s">
        <v>30</v>
      </c>
      <c r="I117" t="s">
        <v>31</v>
      </c>
      <c r="J117" t="s">
        <v>2714</v>
      </c>
      <c r="K117" t="s">
        <v>2038</v>
      </c>
      <c r="L117" t="s">
        <v>2040</v>
      </c>
    </row>
    <row r="118" spans="1:12" ht="16" x14ac:dyDescent="0.2">
      <c r="A118" t="s">
        <v>1383</v>
      </c>
      <c r="B118">
        <v>1640</v>
      </c>
      <c r="C118" s="3">
        <v>92.179000000000002</v>
      </c>
      <c r="D118">
        <v>92.179000000000002</v>
      </c>
      <c r="H118" t="s">
        <v>1086</v>
      </c>
      <c r="I118" t="s">
        <v>1087</v>
      </c>
      <c r="J118" t="s">
        <v>2714</v>
      </c>
      <c r="K118" t="s">
        <v>2038</v>
      </c>
      <c r="L118" t="s">
        <v>2040</v>
      </c>
    </row>
    <row r="119" spans="1:12" ht="16" x14ac:dyDescent="0.2">
      <c r="A119" t="s">
        <v>712</v>
      </c>
      <c r="B119">
        <v>717</v>
      </c>
      <c r="C119" s="3">
        <v>92.207999999999998</v>
      </c>
      <c r="D119">
        <v>92.207999999999998</v>
      </c>
      <c r="H119" t="s">
        <v>713</v>
      </c>
      <c r="I119" t="s">
        <v>714</v>
      </c>
      <c r="J119" t="s">
        <v>2714</v>
      </c>
      <c r="K119" t="s">
        <v>2038</v>
      </c>
      <c r="L119" t="s">
        <v>2040</v>
      </c>
    </row>
    <row r="120" spans="1:12" ht="16" x14ac:dyDescent="0.2">
      <c r="A120" t="s">
        <v>1576</v>
      </c>
      <c r="B120">
        <v>1939</v>
      </c>
      <c r="C120" s="3">
        <v>92.207999999999998</v>
      </c>
      <c r="D120">
        <v>0.84999999999999398</v>
      </c>
      <c r="E120" t="s">
        <v>10</v>
      </c>
      <c r="F120" t="s">
        <v>10</v>
      </c>
      <c r="G120" t="s">
        <v>1577</v>
      </c>
      <c r="H120" t="s">
        <v>1578</v>
      </c>
      <c r="I120" t="s">
        <v>1579</v>
      </c>
      <c r="J120" t="s">
        <v>2714</v>
      </c>
      <c r="K120" t="s">
        <v>2038</v>
      </c>
      <c r="L120" t="s">
        <v>2040</v>
      </c>
    </row>
    <row r="121" spans="1:12" ht="16" x14ac:dyDescent="0.2">
      <c r="A121" t="s">
        <v>1586</v>
      </c>
      <c r="B121">
        <v>1958</v>
      </c>
      <c r="C121" s="3">
        <v>92.215999999999994</v>
      </c>
      <c r="D121">
        <v>0.69099999999998796</v>
      </c>
      <c r="E121" t="s">
        <v>111</v>
      </c>
      <c r="F121" t="s">
        <v>1587</v>
      </c>
      <c r="G121" t="s">
        <v>1588</v>
      </c>
      <c r="H121" t="s">
        <v>124</v>
      </c>
      <c r="I121" t="s">
        <v>125</v>
      </c>
      <c r="J121" t="s">
        <v>2714</v>
      </c>
      <c r="K121" t="s">
        <v>2038</v>
      </c>
      <c r="L121" t="s">
        <v>2040</v>
      </c>
    </row>
    <row r="122" spans="1:12" ht="16" x14ac:dyDescent="0.2">
      <c r="A122" t="s">
        <v>452</v>
      </c>
      <c r="B122">
        <v>394</v>
      </c>
      <c r="C122" s="3">
        <v>92.221999999999994</v>
      </c>
      <c r="D122">
        <v>0.55499999999999305</v>
      </c>
      <c r="E122" t="s">
        <v>10</v>
      </c>
      <c r="F122" t="s">
        <v>10</v>
      </c>
      <c r="G122" t="s">
        <v>10</v>
      </c>
      <c r="H122" t="s">
        <v>364</v>
      </c>
      <c r="I122" t="s">
        <v>453</v>
      </c>
      <c r="J122" t="s">
        <v>2714</v>
      </c>
      <c r="K122" t="s">
        <v>2038</v>
      </c>
      <c r="L122" t="s">
        <v>2040</v>
      </c>
    </row>
    <row r="123" spans="1:12" ht="16" x14ac:dyDescent="0.2">
      <c r="A123" t="s">
        <v>776</v>
      </c>
      <c r="B123">
        <v>824</v>
      </c>
      <c r="C123" s="3">
        <v>92.221999999999994</v>
      </c>
      <c r="D123">
        <v>1.0620000000000001</v>
      </c>
      <c r="E123" t="s">
        <v>10</v>
      </c>
      <c r="F123" t="s">
        <v>10</v>
      </c>
      <c r="G123" t="s">
        <v>453</v>
      </c>
      <c r="H123" t="s">
        <v>364</v>
      </c>
      <c r="I123" t="s">
        <v>365</v>
      </c>
      <c r="J123" t="s">
        <v>2714</v>
      </c>
      <c r="K123" t="s">
        <v>2038</v>
      </c>
      <c r="L123" t="s">
        <v>2040</v>
      </c>
    </row>
    <row r="124" spans="1:12" ht="16" x14ac:dyDescent="0.2">
      <c r="A124" t="s">
        <v>1502</v>
      </c>
      <c r="B124">
        <v>1844</v>
      </c>
      <c r="C124" s="3">
        <v>92.221999999999994</v>
      </c>
      <c r="D124">
        <v>0.50900000000000001</v>
      </c>
      <c r="E124" t="s">
        <v>177</v>
      </c>
      <c r="F124" t="s">
        <v>1503</v>
      </c>
      <c r="G124" t="s">
        <v>1504</v>
      </c>
      <c r="H124" t="s">
        <v>47</v>
      </c>
      <c r="I124" t="s">
        <v>48</v>
      </c>
      <c r="J124" t="s">
        <v>2714</v>
      </c>
      <c r="K124" t="s">
        <v>2038</v>
      </c>
      <c r="L124" t="s">
        <v>2040</v>
      </c>
    </row>
    <row r="125" spans="1:12" ht="16" x14ac:dyDescent="0.2">
      <c r="A125" t="s">
        <v>286</v>
      </c>
      <c r="B125">
        <v>199</v>
      </c>
      <c r="C125" s="3">
        <v>92.221999999999994</v>
      </c>
      <c r="D125">
        <v>0.50900000000000001</v>
      </c>
      <c r="E125" t="s">
        <v>10</v>
      </c>
      <c r="F125" t="s">
        <v>287</v>
      </c>
      <c r="G125" t="s">
        <v>288</v>
      </c>
      <c r="H125" t="s">
        <v>47</v>
      </c>
      <c r="I125" t="s">
        <v>48</v>
      </c>
      <c r="J125" t="s">
        <v>2714</v>
      </c>
      <c r="K125" t="s">
        <v>2038</v>
      </c>
      <c r="L125" t="s">
        <v>2040</v>
      </c>
    </row>
    <row r="126" spans="1:12" ht="16" x14ac:dyDescent="0.2">
      <c r="A126" t="s">
        <v>786</v>
      </c>
      <c r="B126">
        <v>840</v>
      </c>
      <c r="C126" s="3">
        <v>92.221999999999994</v>
      </c>
      <c r="D126">
        <v>0</v>
      </c>
      <c r="E126" t="s">
        <v>787</v>
      </c>
      <c r="F126" t="s">
        <v>788</v>
      </c>
      <c r="G126" t="s">
        <v>789</v>
      </c>
      <c r="H126" t="s">
        <v>790</v>
      </c>
      <c r="I126" t="s">
        <v>791</v>
      </c>
      <c r="J126" t="s">
        <v>2714</v>
      </c>
      <c r="K126" t="s">
        <v>2038</v>
      </c>
      <c r="L126" t="s">
        <v>2040</v>
      </c>
    </row>
    <row r="127" spans="1:12" ht="16" x14ac:dyDescent="0.2">
      <c r="A127" t="s">
        <v>1450</v>
      </c>
      <c r="B127">
        <v>1772</v>
      </c>
      <c r="C127" s="3">
        <v>92.221999999999994</v>
      </c>
      <c r="D127">
        <v>0</v>
      </c>
      <c r="E127" t="s">
        <v>10</v>
      </c>
      <c r="F127" t="s">
        <v>11</v>
      </c>
      <c r="G127" t="s">
        <v>598</v>
      </c>
      <c r="H127" t="s">
        <v>599</v>
      </c>
      <c r="I127" t="s">
        <v>600</v>
      </c>
      <c r="J127" t="s">
        <v>2714</v>
      </c>
      <c r="K127" t="s">
        <v>2038</v>
      </c>
      <c r="L127" t="s">
        <v>2040</v>
      </c>
    </row>
    <row r="128" spans="1:12" ht="16" x14ac:dyDescent="0.2">
      <c r="A128" t="s">
        <v>970</v>
      </c>
      <c r="B128">
        <v>1089</v>
      </c>
      <c r="C128" s="3">
        <v>92.221999999999994</v>
      </c>
      <c r="D128">
        <v>0.55499999999999305</v>
      </c>
      <c r="E128" t="s">
        <v>10</v>
      </c>
      <c r="F128" t="s">
        <v>10</v>
      </c>
      <c r="G128" t="s">
        <v>10</v>
      </c>
      <c r="H128" t="s">
        <v>396</v>
      </c>
      <c r="I128" t="s">
        <v>397</v>
      </c>
      <c r="J128" t="s">
        <v>2714</v>
      </c>
      <c r="K128" t="s">
        <v>2037</v>
      </c>
      <c r="L128" t="s">
        <v>10</v>
      </c>
    </row>
    <row r="129" spans="1:12" ht="16" x14ac:dyDescent="0.2">
      <c r="A129" t="s">
        <v>1423</v>
      </c>
      <c r="B129">
        <v>1711</v>
      </c>
      <c r="C129" s="3">
        <v>92.265000000000001</v>
      </c>
      <c r="D129">
        <v>4.3000000000006401E-2</v>
      </c>
      <c r="E129" t="s">
        <v>10</v>
      </c>
      <c r="F129" t="s">
        <v>47</v>
      </c>
      <c r="G129" t="s">
        <v>48</v>
      </c>
      <c r="H129" t="s">
        <v>287</v>
      </c>
      <c r="I129" t="s">
        <v>1102</v>
      </c>
      <c r="J129" t="s">
        <v>2714</v>
      </c>
      <c r="K129" t="s">
        <v>2038</v>
      </c>
      <c r="L129" t="s">
        <v>2040</v>
      </c>
    </row>
    <row r="130" spans="1:12" ht="16" x14ac:dyDescent="0.2">
      <c r="A130" t="s">
        <v>1961</v>
      </c>
      <c r="B130">
        <v>2458</v>
      </c>
      <c r="C130" s="3">
        <v>92.265000000000001</v>
      </c>
      <c r="D130">
        <v>4.3000000000006401E-2</v>
      </c>
      <c r="E130" t="s">
        <v>10</v>
      </c>
      <c r="F130" t="s">
        <v>1962</v>
      </c>
      <c r="G130" t="s">
        <v>1963</v>
      </c>
      <c r="H130" t="s">
        <v>287</v>
      </c>
      <c r="I130" t="s">
        <v>1102</v>
      </c>
      <c r="J130" t="s">
        <v>2714</v>
      </c>
      <c r="K130" t="s">
        <v>2038</v>
      </c>
      <c r="L130" t="s">
        <v>2040</v>
      </c>
    </row>
    <row r="131" spans="1:12" ht="16" x14ac:dyDescent="0.2">
      <c r="A131" t="s">
        <v>398</v>
      </c>
      <c r="B131">
        <v>316</v>
      </c>
      <c r="C131" s="3">
        <v>92.265000000000001</v>
      </c>
      <c r="D131">
        <v>0.93600000000000705</v>
      </c>
      <c r="E131" t="s">
        <v>399</v>
      </c>
      <c r="F131" t="s">
        <v>400</v>
      </c>
      <c r="G131" t="s">
        <v>401</v>
      </c>
      <c r="H131" t="s">
        <v>364</v>
      </c>
      <c r="I131" t="s">
        <v>365</v>
      </c>
      <c r="J131" t="s">
        <v>2714</v>
      </c>
      <c r="K131" t="s">
        <v>2038</v>
      </c>
      <c r="L131" t="s">
        <v>2040</v>
      </c>
    </row>
    <row r="132" spans="1:12" ht="16" x14ac:dyDescent="0.2">
      <c r="A132" t="s">
        <v>1477</v>
      </c>
      <c r="B132">
        <v>1818</v>
      </c>
      <c r="C132" s="3">
        <v>92.265000000000001</v>
      </c>
      <c r="D132">
        <v>0</v>
      </c>
      <c r="E132" t="s">
        <v>1478</v>
      </c>
      <c r="F132" t="s">
        <v>1479</v>
      </c>
      <c r="G132" t="s">
        <v>1480</v>
      </c>
      <c r="H132" t="s">
        <v>684</v>
      </c>
      <c r="I132" t="s">
        <v>904</v>
      </c>
      <c r="J132" t="s">
        <v>2714</v>
      </c>
      <c r="K132" t="s">
        <v>2038</v>
      </c>
      <c r="L132" t="s">
        <v>2040</v>
      </c>
    </row>
    <row r="133" spans="1:12" ht="16" x14ac:dyDescent="0.2">
      <c r="A133" t="s">
        <v>1462</v>
      </c>
      <c r="B133">
        <v>1803</v>
      </c>
      <c r="C133" s="3">
        <v>92.265000000000001</v>
      </c>
      <c r="D133">
        <v>0</v>
      </c>
      <c r="E133" t="s">
        <v>1463</v>
      </c>
      <c r="F133" t="s">
        <v>1464</v>
      </c>
      <c r="G133" t="s">
        <v>1465</v>
      </c>
      <c r="H133" t="s">
        <v>1466</v>
      </c>
      <c r="I133" t="s">
        <v>1467</v>
      </c>
      <c r="J133" t="s">
        <v>2714</v>
      </c>
      <c r="K133" t="s">
        <v>2038</v>
      </c>
      <c r="L133" t="s">
        <v>2040</v>
      </c>
    </row>
    <row r="134" spans="1:12" ht="16" x14ac:dyDescent="0.2">
      <c r="A134" t="s">
        <v>186</v>
      </c>
      <c r="B134">
        <v>129</v>
      </c>
      <c r="C134" s="3">
        <v>92.265000000000001</v>
      </c>
      <c r="D134">
        <v>92.265000000000001</v>
      </c>
      <c r="H134" t="str">
        <f>LEFT(I134, FIND(" sp.", I134) - 1)</f>
        <v>Stigmaeidae</v>
      </c>
      <c r="I134" t="s">
        <v>187</v>
      </c>
      <c r="J134" t="s">
        <v>2714</v>
      </c>
      <c r="K134" t="s">
        <v>2037</v>
      </c>
      <c r="L134" t="s">
        <v>10</v>
      </c>
    </row>
    <row r="135" spans="1:12" ht="16" x14ac:dyDescent="0.2">
      <c r="A135" t="s">
        <v>562</v>
      </c>
      <c r="B135">
        <v>564</v>
      </c>
      <c r="C135" s="3">
        <v>92.265000000000001</v>
      </c>
      <c r="D135">
        <v>1.0370000000000099</v>
      </c>
      <c r="E135" t="s">
        <v>127</v>
      </c>
      <c r="F135" t="s">
        <v>128</v>
      </c>
      <c r="G135" t="s">
        <v>558</v>
      </c>
      <c r="H135" t="str">
        <f>LEFT(I135, FIND(" sp.", I135) - 1)</f>
        <v>Stigmaeidae</v>
      </c>
      <c r="I135" t="s">
        <v>187</v>
      </c>
      <c r="J135" t="s">
        <v>2714</v>
      </c>
      <c r="K135" t="s">
        <v>2037</v>
      </c>
      <c r="L135" t="s">
        <v>10</v>
      </c>
    </row>
    <row r="136" spans="1:12" ht="16" x14ac:dyDescent="0.2">
      <c r="A136" t="s">
        <v>1158</v>
      </c>
      <c r="B136">
        <v>1387</v>
      </c>
      <c r="C136" s="3">
        <v>92.265000000000001</v>
      </c>
      <c r="D136">
        <v>92.265000000000001</v>
      </c>
      <c r="H136" t="s">
        <v>67</v>
      </c>
      <c r="I136" t="s">
        <v>68</v>
      </c>
      <c r="J136" t="s">
        <v>2714</v>
      </c>
      <c r="K136" t="s">
        <v>2037</v>
      </c>
      <c r="L136" t="s">
        <v>10</v>
      </c>
    </row>
    <row r="137" spans="1:12" ht="16" x14ac:dyDescent="0.2">
      <c r="A137" t="s">
        <v>395</v>
      </c>
      <c r="B137">
        <v>313</v>
      </c>
      <c r="C137" s="3">
        <v>92.265000000000001</v>
      </c>
      <c r="D137">
        <v>0.55200000000000704</v>
      </c>
      <c r="E137" t="s">
        <v>10</v>
      </c>
      <c r="F137" t="s">
        <v>10</v>
      </c>
      <c r="G137" t="s">
        <v>10</v>
      </c>
      <c r="H137" t="s">
        <v>396</v>
      </c>
      <c r="I137" t="s">
        <v>397</v>
      </c>
      <c r="J137" t="s">
        <v>2714</v>
      </c>
      <c r="K137" t="s">
        <v>2037</v>
      </c>
      <c r="L137" t="s">
        <v>10</v>
      </c>
    </row>
    <row r="138" spans="1:12" ht="16" x14ac:dyDescent="0.2">
      <c r="A138" t="s">
        <v>1778</v>
      </c>
      <c r="B138">
        <v>2187</v>
      </c>
      <c r="C138" s="3">
        <v>92.265000000000001</v>
      </c>
      <c r="D138">
        <v>0.59799999999999898</v>
      </c>
      <c r="E138" t="s">
        <v>10</v>
      </c>
      <c r="F138" t="s">
        <v>10</v>
      </c>
      <c r="G138" t="s">
        <v>10</v>
      </c>
      <c r="H138" t="s">
        <v>409</v>
      </c>
      <c r="I138" t="s">
        <v>410</v>
      </c>
      <c r="J138" t="s">
        <v>2714</v>
      </c>
      <c r="K138" t="s">
        <v>2037</v>
      </c>
      <c r="L138" t="s">
        <v>10</v>
      </c>
    </row>
    <row r="139" spans="1:12" ht="16" x14ac:dyDescent="0.2">
      <c r="A139" t="s">
        <v>1449</v>
      </c>
      <c r="B139">
        <v>1771</v>
      </c>
      <c r="C139" s="3">
        <v>92.308000000000007</v>
      </c>
      <c r="D139">
        <v>0.64100000000000501</v>
      </c>
      <c r="E139" t="s">
        <v>464</v>
      </c>
      <c r="F139" t="s">
        <v>10</v>
      </c>
      <c r="G139" t="s">
        <v>465</v>
      </c>
      <c r="H139" t="str">
        <f>LEFT(I139, FIND(" sp.", I139) - 1)</f>
        <v>Curculionidae</v>
      </c>
      <c r="I139" t="s">
        <v>466</v>
      </c>
      <c r="J139" t="s">
        <v>2714</v>
      </c>
      <c r="K139" t="s">
        <v>2038</v>
      </c>
      <c r="L139" t="s">
        <v>2040</v>
      </c>
    </row>
    <row r="140" spans="1:12" ht="16" x14ac:dyDescent="0.2">
      <c r="A140" t="s">
        <v>463</v>
      </c>
      <c r="B140">
        <v>412</v>
      </c>
      <c r="C140" s="3">
        <v>92.308000000000007</v>
      </c>
      <c r="D140">
        <v>0.64100000000000501</v>
      </c>
      <c r="E140" t="s">
        <v>464</v>
      </c>
      <c r="F140" t="s">
        <v>10</v>
      </c>
      <c r="G140" t="s">
        <v>465</v>
      </c>
      <c r="H140" t="str">
        <f>LEFT(I140, FIND(" sp.", I140) - 1)</f>
        <v>Curculionidae</v>
      </c>
      <c r="I140" t="s">
        <v>466</v>
      </c>
      <c r="J140" t="s">
        <v>2714</v>
      </c>
      <c r="K140" t="s">
        <v>2038</v>
      </c>
      <c r="L140" t="s">
        <v>2040</v>
      </c>
    </row>
    <row r="141" spans="1:12" ht="16" x14ac:dyDescent="0.2">
      <c r="A141" t="s">
        <v>1526</v>
      </c>
      <c r="B141">
        <v>1880</v>
      </c>
      <c r="C141" s="3">
        <v>92.308000000000007</v>
      </c>
      <c r="D141">
        <v>1.2630000000000099</v>
      </c>
      <c r="E141" t="s">
        <v>315</v>
      </c>
      <c r="F141" t="s">
        <v>1527</v>
      </c>
      <c r="G141" t="s">
        <v>1528</v>
      </c>
      <c r="H141" t="s">
        <v>1529</v>
      </c>
      <c r="I141" t="s">
        <v>1530</v>
      </c>
      <c r="J141" t="s">
        <v>2714</v>
      </c>
      <c r="K141" t="s">
        <v>2038</v>
      </c>
      <c r="L141" t="s">
        <v>2040</v>
      </c>
    </row>
    <row r="142" spans="1:12" ht="16" x14ac:dyDescent="0.2">
      <c r="A142" t="s">
        <v>1569</v>
      </c>
      <c r="B142">
        <v>1921</v>
      </c>
      <c r="C142" s="3">
        <v>92.308000000000007</v>
      </c>
      <c r="D142">
        <v>1.2630000000000099</v>
      </c>
      <c r="E142" t="s">
        <v>315</v>
      </c>
      <c r="F142" t="s">
        <v>1527</v>
      </c>
      <c r="G142" t="s">
        <v>1528</v>
      </c>
      <c r="H142" t="s">
        <v>1529</v>
      </c>
      <c r="I142" t="s">
        <v>1530</v>
      </c>
      <c r="J142" t="s">
        <v>2714</v>
      </c>
      <c r="K142" t="s">
        <v>2038</v>
      </c>
      <c r="L142" t="s">
        <v>2040</v>
      </c>
    </row>
    <row r="143" spans="1:12" ht="16" x14ac:dyDescent="0.2">
      <c r="A143" t="s">
        <v>421</v>
      </c>
      <c r="B143">
        <v>353</v>
      </c>
      <c r="C143" s="3">
        <v>92.35</v>
      </c>
      <c r="D143">
        <v>0.77700000000000102</v>
      </c>
      <c r="E143" t="s">
        <v>10</v>
      </c>
      <c r="F143" t="s">
        <v>10</v>
      </c>
      <c r="G143" t="s">
        <v>10</v>
      </c>
      <c r="H143" t="s">
        <v>20</v>
      </c>
      <c r="I143" t="s">
        <v>262</v>
      </c>
      <c r="J143" t="s">
        <v>2714</v>
      </c>
      <c r="K143" t="s">
        <v>2038</v>
      </c>
      <c r="L143" t="s">
        <v>2040</v>
      </c>
    </row>
    <row r="144" spans="1:12" ht="16" x14ac:dyDescent="0.2">
      <c r="A144" t="s">
        <v>1179</v>
      </c>
      <c r="B144">
        <v>1413</v>
      </c>
      <c r="C144" s="3">
        <v>92.391000000000005</v>
      </c>
      <c r="D144">
        <v>0.63300000000001</v>
      </c>
      <c r="E144" t="s">
        <v>10</v>
      </c>
      <c r="F144" t="s">
        <v>10</v>
      </c>
      <c r="G144" t="s">
        <v>1180</v>
      </c>
      <c r="H144" t="s">
        <v>20</v>
      </c>
      <c r="I144" t="s">
        <v>1181</v>
      </c>
      <c r="J144" t="s">
        <v>2714</v>
      </c>
      <c r="K144" t="s">
        <v>2038</v>
      </c>
      <c r="L144" t="s">
        <v>2040</v>
      </c>
    </row>
    <row r="145" spans="1:12" ht="16" x14ac:dyDescent="0.2">
      <c r="A145" t="s">
        <v>26</v>
      </c>
      <c r="B145">
        <v>15</v>
      </c>
      <c r="C145" s="3">
        <v>92.405000000000001</v>
      </c>
      <c r="D145">
        <v>92.405000000000001</v>
      </c>
      <c r="H145" t="s">
        <v>27</v>
      </c>
      <c r="I145" t="s">
        <v>28</v>
      </c>
      <c r="J145" t="s">
        <v>2714</v>
      </c>
      <c r="K145" t="s">
        <v>2038</v>
      </c>
      <c r="L145" t="s">
        <v>2040</v>
      </c>
    </row>
    <row r="146" spans="1:12" ht="16" x14ac:dyDescent="0.2">
      <c r="A146" t="s">
        <v>889</v>
      </c>
      <c r="B146">
        <v>991</v>
      </c>
      <c r="C146" s="3">
        <v>92.441999999999993</v>
      </c>
      <c r="D146">
        <v>4.3999999999996903E-2</v>
      </c>
      <c r="E146" t="s">
        <v>10</v>
      </c>
      <c r="F146" t="s">
        <v>10</v>
      </c>
      <c r="G146" t="s">
        <v>890</v>
      </c>
      <c r="H146" t="str">
        <f>LEFT(I146, FIND(" sp.", I146) - 1)</f>
        <v>Cecidomyiidae</v>
      </c>
      <c r="I146" t="s">
        <v>891</v>
      </c>
      <c r="J146" t="s">
        <v>2714</v>
      </c>
      <c r="K146" t="s">
        <v>2038</v>
      </c>
      <c r="L146" t="s">
        <v>2040</v>
      </c>
    </row>
    <row r="147" spans="1:12" ht="16" x14ac:dyDescent="0.2">
      <c r="A147" t="s">
        <v>207</v>
      </c>
      <c r="B147">
        <v>147</v>
      </c>
      <c r="C147" s="3">
        <v>92.453000000000003</v>
      </c>
      <c r="D147">
        <v>92.453000000000003</v>
      </c>
      <c r="H147" t="s">
        <v>96</v>
      </c>
      <c r="I147" t="s">
        <v>97</v>
      </c>
      <c r="J147" t="s">
        <v>2714</v>
      </c>
      <c r="K147" t="s">
        <v>2038</v>
      </c>
      <c r="L147" t="s">
        <v>2040</v>
      </c>
    </row>
    <row r="148" spans="1:12" ht="16" x14ac:dyDescent="0.2">
      <c r="A148" t="s">
        <v>95</v>
      </c>
      <c r="B148">
        <v>52</v>
      </c>
      <c r="C148" s="3">
        <v>92.453000000000003</v>
      </c>
      <c r="D148">
        <v>92.453000000000003</v>
      </c>
      <c r="H148" t="s">
        <v>96</v>
      </c>
      <c r="I148" t="s">
        <v>97</v>
      </c>
      <c r="J148" t="s">
        <v>2714</v>
      </c>
      <c r="K148" t="s">
        <v>2038</v>
      </c>
      <c r="L148" t="s">
        <v>2040</v>
      </c>
    </row>
    <row r="149" spans="1:12" ht="16" x14ac:dyDescent="0.2">
      <c r="A149" t="s">
        <v>1614</v>
      </c>
      <c r="B149">
        <v>1978</v>
      </c>
      <c r="C149" s="3">
        <v>92.486000000000004</v>
      </c>
      <c r="D149">
        <v>0.57800000000000296</v>
      </c>
      <c r="E149" t="s">
        <v>10</v>
      </c>
      <c r="F149" t="s">
        <v>10</v>
      </c>
      <c r="G149" t="s">
        <v>10</v>
      </c>
      <c r="H149" t="s">
        <v>1615</v>
      </c>
      <c r="I149" t="s">
        <v>1616</v>
      </c>
      <c r="J149" t="s">
        <v>2714</v>
      </c>
      <c r="K149" t="s">
        <v>2038</v>
      </c>
      <c r="L149" t="s">
        <v>2040</v>
      </c>
    </row>
    <row r="150" spans="1:12" ht="16" x14ac:dyDescent="0.2">
      <c r="A150" t="s">
        <v>1725</v>
      </c>
      <c r="B150">
        <v>2136</v>
      </c>
      <c r="C150" s="3">
        <v>92.486000000000004</v>
      </c>
      <c r="D150">
        <v>0.26400000000001</v>
      </c>
      <c r="E150" t="s">
        <v>1202</v>
      </c>
      <c r="F150" t="s">
        <v>11</v>
      </c>
      <c r="G150" t="s">
        <v>1203</v>
      </c>
      <c r="H150" t="s">
        <v>1615</v>
      </c>
      <c r="I150" t="s">
        <v>1726</v>
      </c>
      <c r="J150" t="s">
        <v>2714</v>
      </c>
      <c r="K150" t="s">
        <v>2038</v>
      </c>
      <c r="L150" t="s">
        <v>2040</v>
      </c>
    </row>
    <row r="151" spans="1:12" ht="16" x14ac:dyDescent="0.2">
      <c r="A151" t="s">
        <v>1808</v>
      </c>
      <c r="B151">
        <v>2223</v>
      </c>
      <c r="C151" s="3">
        <v>92.528999999999996</v>
      </c>
      <c r="D151">
        <v>0.26399999999999602</v>
      </c>
      <c r="E151" t="s">
        <v>49</v>
      </c>
      <c r="F151" t="s">
        <v>11</v>
      </c>
      <c r="G151" t="s">
        <v>50</v>
      </c>
      <c r="H151" t="s">
        <v>1809</v>
      </c>
      <c r="I151" t="s">
        <v>1810</v>
      </c>
      <c r="J151" t="s">
        <v>2714</v>
      </c>
      <c r="K151" t="s">
        <v>2038</v>
      </c>
      <c r="L151" t="s">
        <v>2040</v>
      </c>
    </row>
    <row r="152" spans="1:12" ht="16" x14ac:dyDescent="0.2">
      <c r="A152" t="s">
        <v>1014</v>
      </c>
      <c r="B152">
        <v>1180</v>
      </c>
      <c r="C152" s="3">
        <v>92.528999999999996</v>
      </c>
      <c r="D152">
        <v>0.43899999999999301</v>
      </c>
      <c r="E152" t="s">
        <v>10</v>
      </c>
      <c r="F152" t="s">
        <v>11</v>
      </c>
      <c r="G152" t="s">
        <v>638</v>
      </c>
      <c r="H152" t="s">
        <v>358</v>
      </c>
      <c r="I152" t="s">
        <v>793</v>
      </c>
      <c r="J152" t="s">
        <v>2714</v>
      </c>
      <c r="K152" t="s">
        <v>2038</v>
      </c>
      <c r="L152" t="s">
        <v>2040</v>
      </c>
    </row>
    <row r="153" spans="1:12" ht="16" x14ac:dyDescent="0.2">
      <c r="A153" t="s">
        <v>792</v>
      </c>
      <c r="B153">
        <v>842</v>
      </c>
      <c r="C153" s="3">
        <v>92.528999999999996</v>
      </c>
      <c r="D153">
        <v>0.81600000000000295</v>
      </c>
      <c r="E153" t="s">
        <v>10</v>
      </c>
      <c r="F153" t="s">
        <v>11</v>
      </c>
      <c r="G153" t="s">
        <v>638</v>
      </c>
      <c r="H153" t="s">
        <v>358</v>
      </c>
      <c r="I153" t="s">
        <v>793</v>
      </c>
      <c r="J153" t="s">
        <v>2714</v>
      </c>
      <c r="K153" t="s">
        <v>2038</v>
      </c>
      <c r="L153" t="s">
        <v>2040</v>
      </c>
    </row>
    <row r="154" spans="1:12" ht="16" x14ac:dyDescent="0.2">
      <c r="A154" t="s">
        <v>1151</v>
      </c>
      <c r="B154">
        <v>1383</v>
      </c>
      <c r="C154" s="3">
        <v>92.537000000000006</v>
      </c>
      <c r="D154">
        <v>0.47400000000000397</v>
      </c>
      <c r="E154" t="s">
        <v>448</v>
      </c>
      <c r="F154" t="s">
        <v>449</v>
      </c>
      <c r="G154" t="s">
        <v>1152</v>
      </c>
      <c r="H154" t="str">
        <f>LEFT(I154, FIND(" sp.", I154) - 1)</f>
        <v>Chthoniidae</v>
      </c>
      <c r="I154" t="s">
        <v>1153</v>
      </c>
      <c r="J154" t="s">
        <v>2714</v>
      </c>
      <c r="K154" t="s">
        <v>2038</v>
      </c>
      <c r="L154" t="s">
        <v>2040</v>
      </c>
    </row>
    <row r="155" spans="1:12" ht="16" x14ac:dyDescent="0.2">
      <c r="A155" t="s">
        <v>850</v>
      </c>
      <c r="B155">
        <v>920</v>
      </c>
      <c r="C155" s="3">
        <v>92.546999999999997</v>
      </c>
      <c r="D155">
        <v>0.28199999999999598</v>
      </c>
      <c r="E155" t="s">
        <v>64</v>
      </c>
      <c r="F155" t="s">
        <v>10</v>
      </c>
      <c r="G155" t="s">
        <v>567</v>
      </c>
      <c r="H155" t="str">
        <f>LEFT(I155, FIND(" sp.", I155) - 1)</f>
        <v>Acariformes</v>
      </c>
      <c r="I155" t="s">
        <v>568</v>
      </c>
      <c r="J155" t="s">
        <v>2714</v>
      </c>
      <c r="K155" t="s">
        <v>2038</v>
      </c>
      <c r="L155" t="s">
        <v>2040</v>
      </c>
    </row>
    <row r="156" spans="1:12" ht="16" x14ac:dyDescent="0.2">
      <c r="A156" t="s">
        <v>1276</v>
      </c>
      <c r="B156">
        <v>1537</v>
      </c>
      <c r="C156" s="3">
        <v>92.647000000000006</v>
      </c>
      <c r="D156">
        <v>0.86599999999999999</v>
      </c>
      <c r="E156" t="s">
        <v>10</v>
      </c>
      <c r="F156" t="s">
        <v>10</v>
      </c>
      <c r="G156" t="s">
        <v>1277</v>
      </c>
      <c r="H156" t="str">
        <f>LEFT(I156, FIND(" sp.", I156) - 1)</f>
        <v>Caridea</v>
      </c>
      <c r="I156" t="s">
        <v>1278</v>
      </c>
      <c r="J156" t="s">
        <v>2714</v>
      </c>
      <c r="K156" t="s">
        <v>2038</v>
      </c>
      <c r="L156" t="s">
        <v>2040</v>
      </c>
    </row>
    <row r="157" spans="1:12" ht="16" x14ac:dyDescent="0.2">
      <c r="A157" t="s">
        <v>1509</v>
      </c>
      <c r="B157">
        <v>1848</v>
      </c>
      <c r="C157" s="3">
        <v>92.647000000000006</v>
      </c>
      <c r="D157">
        <v>92.647000000000006</v>
      </c>
      <c r="H157" t="s">
        <v>1510</v>
      </c>
      <c r="I157" t="s">
        <v>1511</v>
      </c>
      <c r="J157" t="s">
        <v>2714</v>
      </c>
      <c r="K157" t="s">
        <v>2038</v>
      </c>
      <c r="L157" t="s">
        <v>2040</v>
      </c>
    </row>
    <row r="158" spans="1:12" ht="16" x14ac:dyDescent="0.2">
      <c r="A158" t="s">
        <v>1932</v>
      </c>
      <c r="B158">
        <v>2390</v>
      </c>
      <c r="C158" s="3">
        <v>92.655000000000001</v>
      </c>
      <c r="D158">
        <v>0.56499999999999795</v>
      </c>
      <c r="E158" t="s">
        <v>10</v>
      </c>
      <c r="F158" t="s">
        <v>10</v>
      </c>
      <c r="J158" t="s">
        <v>2714</v>
      </c>
      <c r="K158" t="s">
        <v>2038</v>
      </c>
      <c r="L158" t="s">
        <v>2040</v>
      </c>
    </row>
    <row r="159" spans="1:12" ht="16" x14ac:dyDescent="0.2">
      <c r="A159" t="s">
        <v>1292</v>
      </c>
      <c r="B159">
        <v>1548</v>
      </c>
      <c r="C159" s="3">
        <v>92.655000000000001</v>
      </c>
      <c r="D159">
        <v>0.56499999999999795</v>
      </c>
      <c r="E159" t="s">
        <v>10</v>
      </c>
      <c r="F159" t="s">
        <v>10</v>
      </c>
      <c r="G159" t="s">
        <v>10</v>
      </c>
      <c r="H159" t="s">
        <v>396</v>
      </c>
      <c r="I159" t="s">
        <v>1293</v>
      </c>
      <c r="J159" t="s">
        <v>2714</v>
      </c>
      <c r="K159" t="s">
        <v>2037</v>
      </c>
      <c r="L159" t="s">
        <v>10</v>
      </c>
    </row>
    <row r="160" spans="1:12" ht="16" x14ac:dyDescent="0.2">
      <c r="A160" t="s">
        <v>408</v>
      </c>
      <c r="B160">
        <v>331</v>
      </c>
      <c r="C160" s="3">
        <v>92.655000000000001</v>
      </c>
      <c r="D160">
        <v>0.126000000000005</v>
      </c>
      <c r="E160" t="s">
        <v>10</v>
      </c>
      <c r="F160" t="s">
        <v>10</v>
      </c>
      <c r="G160" t="s">
        <v>10</v>
      </c>
      <c r="H160" t="s">
        <v>409</v>
      </c>
      <c r="I160" t="s">
        <v>410</v>
      </c>
      <c r="J160" t="s">
        <v>2714</v>
      </c>
      <c r="K160" t="s">
        <v>2037</v>
      </c>
      <c r="L160" t="s">
        <v>10</v>
      </c>
    </row>
    <row r="161" spans="1:12" ht="16" x14ac:dyDescent="0.2">
      <c r="A161" t="s">
        <v>1294</v>
      </c>
      <c r="B161">
        <v>1550</v>
      </c>
      <c r="C161" s="3">
        <v>92.683000000000007</v>
      </c>
      <c r="D161">
        <v>92.683000000000007</v>
      </c>
      <c r="H161" t="s">
        <v>134</v>
      </c>
      <c r="I161" t="s">
        <v>1295</v>
      </c>
      <c r="J161" t="s">
        <v>2714</v>
      </c>
      <c r="K161" t="s">
        <v>2038</v>
      </c>
      <c r="L161" t="s">
        <v>2040</v>
      </c>
    </row>
    <row r="162" spans="1:12" ht="16" x14ac:dyDescent="0.2">
      <c r="A162" t="s">
        <v>664</v>
      </c>
      <c r="B162">
        <v>674</v>
      </c>
      <c r="C162" s="3">
        <v>92.754000000000005</v>
      </c>
      <c r="D162">
        <v>0</v>
      </c>
      <c r="E162" t="s">
        <v>10</v>
      </c>
      <c r="F162" t="s">
        <v>10</v>
      </c>
      <c r="G162" t="s">
        <v>665</v>
      </c>
      <c r="H162" t="s">
        <v>666</v>
      </c>
      <c r="I162" t="s">
        <v>667</v>
      </c>
      <c r="J162" t="s">
        <v>2714</v>
      </c>
      <c r="K162" t="s">
        <v>2038</v>
      </c>
      <c r="L162" t="s">
        <v>2040</v>
      </c>
    </row>
    <row r="163" spans="1:12" ht="16" x14ac:dyDescent="0.2">
      <c r="A163" t="s">
        <v>2000</v>
      </c>
      <c r="B163">
        <v>2535</v>
      </c>
      <c r="C163" s="3">
        <v>92.771000000000001</v>
      </c>
      <c r="D163">
        <v>92.771000000000001</v>
      </c>
      <c r="H163" t="s">
        <v>2001</v>
      </c>
      <c r="I163" t="s">
        <v>2002</v>
      </c>
      <c r="J163" t="s">
        <v>2714</v>
      </c>
      <c r="K163" t="s">
        <v>2038</v>
      </c>
      <c r="L163" t="s">
        <v>2040</v>
      </c>
    </row>
    <row r="164" spans="1:12" ht="16" x14ac:dyDescent="0.2">
      <c r="A164" t="s">
        <v>1974</v>
      </c>
      <c r="B164">
        <v>2501</v>
      </c>
      <c r="C164" s="3">
        <v>92.778000000000006</v>
      </c>
      <c r="D164">
        <v>4.1000000000011E-2</v>
      </c>
      <c r="E164" t="s">
        <v>10</v>
      </c>
      <c r="F164" t="s">
        <v>1975</v>
      </c>
      <c r="G164" t="s">
        <v>1976</v>
      </c>
      <c r="H164" t="s">
        <v>964</v>
      </c>
      <c r="I164" t="s">
        <v>1885</v>
      </c>
      <c r="J164" t="s">
        <v>2714</v>
      </c>
      <c r="K164" t="s">
        <v>2038</v>
      </c>
      <c r="L164" t="s">
        <v>2040</v>
      </c>
    </row>
    <row r="165" spans="1:12" ht="16" x14ac:dyDescent="0.2">
      <c r="A165" t="s">
        <v>1321</v>
      </c>
      <c r="B165">
        <v>1566</v>
      </c>
      <c r="C165" s="3">
        <v>92.778000000000006</v>
      </c>
      <c r="D165">
        <v>4.1000000000011E-2</v>
      </c>
      <c r="E165" t="s">
        <v>1155</v>
      </c>
      <c r="F165" t="s">
        <v>1322</v>
      </c>
      <c r="G165" t="s">
        <v>1323</v>
      </c>
      <c r="H165" t="s">
        <v>1324</v>
      </c>
      <c r="I165" t="s">
        <v>1325</v>
      </c>
      <c r="J165" t="s">
        <v>2714</v>
      </c>
      <c r="K165" t="s">
        <v>2038</v>
      </c>
      <c r="L165" t="s">
        <v>2040</v>
      </c>
    </row>
    <row r="166" spans="1:12" ht="16" x14ac:dyDescent="0.2">
      <c r="A166" t="s">
        <v>1566</v>
      </c>
      <c r="B166">
        <v>1918</v>
      </c>
      <c r="C166" s="3">
        <v>92.778000000000006</v>
      </c>
      <c r="D166">
        <v>0.51300000000000501</v>
      </c>
      <c r="E166" t="s">
        <v>720</v>
      </c>
      <c r="F166" t="s">
        <v>1567</v>
      </c>
      <c r="G166" t="s">
        <v>1568</v>
      </c>
      <c r="H166" t="s">
        <v>1464</v>
      </c>
      <c r="I166" t="s">
        <v>1465</v>
      </c>
      <c r="J166" t="s">
        <v>2714</v>
      </c>
      <c r="K166" t="s">
        <v>2038</v>
      </c>
      <c r="L166" t="s">
        <v>2040</v>
      </c>
    </row>
    <row r="167" spans="1:12" ht="16" x14ac:dyDescent="0.2">
      <c r="A167" t="s">
        <v>1127</v>
      </c>
      <c r="B167">
        <v>1339</v>
      </c>
      <c r="C167" s="3">
        <v>92.778000000000006</v>
      </c>
      <c r="D167">
        <v>0.16400000000000101</v>
      </c>
      <c r="E167" t="s">
        <v>11</v>
      </c>
      <c r="F167" t="s">
        <v>10</v>
      </c>
      <c r="G167" t="s">
        <v>1128</v>
      </c>
      <c r="H167" t="str">
        <f>LEFT(I167, FIND(" sp.", I167) - 1)</f>
        <v>Sciaridae</v>
      </c>
      <c r="I167" t="s">
        <v>861</v>
      </c>
      <c r="J167" t="s">
        <v>2714</v>
      </c>
      <c r="K167" t="s">
        <v>2038</v>
      </c>
      <c r="L167" t="s">
        <v>2040</v>
      </c>
    </row>
    <row r="168" spans="1:12" ht="16" x14ac:dyDescent="0.2">
      <c r="A168" t="s">
        <v>1198</v>
      </c>
      <c r="B168">
        <v>1438</v>
      </c>
      <c r="C168" s="3">
        <v>92.778000000000006</v>
      </c>
      <c r="D168">
        <v>0.55600000000001204</v>
      </c>
      <c r="E168" t="s">
        <v>1199</v>
      </c>
      <c r="F168" t="s">
        <v>1200</v>
      </c>
      <c r="G168" t="s">
        <v>1201</v>
      </c>
      <c r="H168" t="str">
        <f>LEFT(I168, FIND(" sp.", I168) - 1)</f>
        <v>Melandryidae</v>
      </c>
      <c r="I168" t="s">
        <v>1203</v>
      </c>
      <c r="J168" t="s">
        <v>2714</v>
      </c>
      <c r="K168" t="s">
        <v>2038</v>
      </c>
      <c r="L168" t="s">
        <v>2040</v>
      </c>
    </row>
    <row r="169" spans="1:12" ht="16" x14ac:dyDescent="0.2">
      <c r="A169" t="s">
        <v>1720</v>
      </c>
      <c r="B169">
        <v>2127</v>
      </c>
      <c r="C169" s="3">
        <v>92.778000000000006</v>
      </c>
      <c r="D169">
        <v>0.51300000000000501</v>
      </c>
      <c r="E169" t="s">
        <v>1199</v>
      </c>
      <c r="F169" t="s">
        <v>1200</v>
      </c>
      <c r="G169" t="s">
        <v>1201</v>
      </c>
      <c r="H169" t="str">
        <f>LEFT(I169, FIND(" sp.", I169) - 1)</f>
        <v>Melandryidae</v>
      </c>
      <c r="I169" t="s">
        <v>1203</v>
      </c>
      <c r="J169" t="s">
        <v>2714</v>
      </c>
      <c r="K169" t="s">
        <v>2038</v>
      </c>
      <c r="L169" t="s">
        <v>2040</v>
      </c>
    </row>
    <row r="170" spans="1:12" ht="16" x14ac:dyDescent="0.2">
      <c r="A170" t="s">
        <v>1901</v>
      </c>
      <c r="B170">
        <v>2328</v>
      </c>
      <c r="C170" s="3">
        <v>92.778000000000006</v>
      </c>
      <c r="D170">
        <v>0.55600000000001204</v>
      </c>
      <c r="E170" t="s">
        <v>10</v>
      </c>
      <c r="F170" t="s">
        <v>10</v>
      </c>
      <c r="G170" t="s">
        <v>1902</v>
      </c>
      <c r="H170" t="s">
        <v>409</v>
      </c>
      <c r="I170" t="s">
        <v>1903</v>
      </c>
      <c r="J170" t="s">
        <v>2714</v>
      </c>
      <c r="K170" t="s">
        <v>2037</v>
      </c>
      <c r="L170" t="s">
        <v>10</v>
      </c>
    </row>
    <row r="171" spans="1:12" ht="16" x14ac:dyDescent="0.2">
      <c r="A171" t="s">
        <v>1424</v>
      </c>
      <c r="B171">
        <v>1717</v>
      </c>
      <c r="C171" s="3">
        <v>92.817999999999998</v>
      </c>
      <c r="D171">
        <v>0</v>
      </c>
      <c r="E171" t="s">
        <v>10</v>
      </c>
      <c r="F171" t="s">
        <v>10</v>
      </c>
      <c r="G171" t="s">
        <v>220</v>
      </c>
      <c r="H171" t="s">
        <v>222</v>
      </c>
      <c r="I171" t="s">
        <v>223</v>
      </c>
      <c r="J171" t="s">
        <v>2714</v>
      </c>
      <c r="K171" t="s">
        <v>2038</v>
      </c>
      <c r="L171" t="s">
        <v>2040</v>
      </c>
    </row>
    <row r="172" spans="1:12" ht="16" x14ac:dyDescent="0.2">
      <c r="A172" t="s">
        <v>610</v>
      </c>
      <c r="B172">
        <v>614</v>
      </c>
      <c r="C172" s="3">
        <v>92.817999999999998</v>
      </c>
      <c r="D172">
        <v>3.9999999999992E-2</v>
      </c>
      <c r="E172" t="s">
        <v>10</v>
      </c>
      <c r="F172" t="s">
        <v>47</v>
      </c>
      <c r="G172" t="s">
        <v>48</v>
      </c>
      <c r="H172" t="s">
        <v>455</v>
      </c>
      <c r="I172" t="s">
        <v>611</v>
      </c>
      <c r="J172" t="s">
        <v>2714</v>
      </c>
      <c r="K172" t="s">
        <v>2038</v>
      </c>
      <c r="L172" t="s">
        <v>2040</v>
      </c>
    </row>
    <row r="173" spans="1:12" ht="16" x14ac:dyDescent="0.2">
      <c r="A173" t="s">
        <v>1548</v>
      </c>
      <c r="B173">
        <v>1894</v>
      </c>
      <c r="C173" s="3">
        <v>92.817999999999998</v>
      </c>
      <c r="D173">
        <v>0</v>
      </c>
      <c r="E173" t="s">
        <v>46</v>
      </c>
      <c r="F173" t="s">
        <v>1549</v>
      </c>
      <c r="G173" t="s">
        <v>1550</v>
      </c>
      <c r="H173" t="str">
        <f>LEFT(I173, FIND(" sp.", I173) - 1)</f>
        <v>Gryllidae</v>
      </c>
      <c r="I173" t="s">
        <v>50</v>
      </c>
      <c r="J173" t="s">
        <v>2714</v>
      </c>
      <c r="K173" t="s">
        <v>2038</v>
      </c>
      <c r="L173" t="s">
        <v>2040</v>
      </c>
    </row>
    <row r="174" spans="1:12" ht="16" x14ac:dyDescent="0.2">
      <c r="A174" t="s">
        <v>1803</v>
      </c>
      <c r="B174">
        <v>2220</v>
      </c>
      <c r="C174" s="3">
        <v>92.817999999999998</v>
      </c>
      <c r="D174">
        <v>0.77299999999999602</v>
      </c>
      <c r="E174" t="s">
        <v>683</v>
      </c>
      <c r="F174" t="s">
        <v>1804</v>
      </c>
      <c r="G174" t="s">
        <v>1805</v>
      </c>
      <c r="H174" t="s">
        <v>1806</v>
      </c>
      <c r="I174" t="s">
        <v>1807</v>
      </c>
      <c r="J174" t="s">
        <v>2714</v>
      </c>
      <c r="K174" t="s">
        <v>2038</v>
      </c>
      <c r="L174" t="s">
        <v>2040</v>
      </c>
    </row>
    <row r="175" spans="1:12" ht="16" x14ac:dyDescent="0.2">
      <c r="A175" t="s">
        <v>557</v>
      </c>
      <c r="B175">
        <v>547</v>
      </c>
      <c r="C175" s="3">
        <v>92.817999999999998</v>
      </c>
      <c r="D175">
        <v>1.0049999999999999</v>
      </c>
      <c r="E175" t="s">
        <v>127</v>
      </c>
      <c r="F175" t="s">
        <v>128</v>
      </c>
      <c r="G175" t="s">
        <v>558</v>
      </c>
      <c r="H175" t="str">
        <f>LEFT(I175, FIND(" sp.", I175) - 1)</f>
        <v>Stigmaeidae</v>
      </c>
      <c r="I175" t="s">
        <v>187</v>
      </c>
      <c r="J175" t="s">
        <v>2714</v>
      </c>
      <c r="K175" t="s">
        <v>2037</v>
      </c>
      <c r="L175" t="s">
        <v>10</v>
      </c>
    </row>
    <row r="176" spans="1:12" ht="16" x14ac:dyDescent="0.2">
      <c r="A176" t="s">
        <v>1000</v>
      </c>
      <c r="B176">
        <v>1150</v>
      </c>
      <c r="C176" s="3">
        <v>92.817999999999998</v>
      </c>
      <c r="D176">
        <v>92.817999999999998</v>
      </c>
      <c r="H176" t="s">
        <v>67</v>
      </c>
      <c r="I176" t="s">
        <v>68</v>
      </c>
      <c r="J176" t="s">
        <v>2714</v>
      </c>
      <c r="K176" t="s">
        <v>2037</v>
      </c>
      <c r="L176" t="s">
        <v>10</v>
      </c>
    </row>
    <row r="177" spans="1:12" ht="16" x14ac:dyDescent="0.2">
      <c r="A177" t="s">
        <v>1736</v>
      </c>
      <c r="B177">
        <v>2160</v>
      </c>
      <c r="C177" s="3">
        <v>92.856999999999999</v>
      </c>
      <c r="D177">
        <v>92.856999999999999</v>
      </c>
      <c r="H177" t="s">
        <v>1144</v>
      </c>
      <c r="I177" t="s">
        <v>1145</v>
      </c>
      <c r="J177" t="s">
        <v>2714</v>
      </c>
      <c r="K177" t="s">
        <v>2038</v>
      </c>
      <c r="L177" t="s">
        <v>2040</v>
      </c>
    </row>
    <row r="178" spans="1:12" ht="16" x14ac:dyDescent="0.2">
      <c r="A178" t="s">
        <v>1430</v>
      </c>
      <c r="B178">
        <v>1735</v>
      </c>
      <c r="C178" s="3">
        <v>92.856999999999999</v>
      </c>
      <c r="D178">
        <v>92.856999999999999</v>
      </c>
      <c r="H178" t="str">
        <f>LEFT(I178, FIND(" sp.", I178) - 1)</f>
        <v>Eupodidae</v>
      </c>
      <c r="I178" t="s">
        <v>1431</v>
      </c>
      <c r="J178" t="s">
        <v>2714</v>
      </c>
      <c r="K178" t="s">
        <v>2038</v>
      </c>
      <c r="L178" t="s">
        <v>2040</v>
      </c>
    </row>
    <row r="179" spans="1:12" ht="16" x14ac:dyDescent="0.2">
      <c r="A179" t="s">
        <v>1057</v>
      </c>
      <c r="B179">
        <v>1257</v>
      </c>
      <c r="C179" s="3">
        <v>92.856999999999999</v>
      </c>
      <c r="D179">
        <v>1.786</v>
      </c>
      <c r="E179" t="s">
        <v>828</v>
      </c>
      <c r="F179" t="s">
        <v>829</v>
      </c>
      <c r="G179" t="s">
        <v>830</v>
      </c>
      <c r="H179" t="s">
        <v>831</v>
      </c>
      <c r="I179" t="s">
        <v>832</v>
      </c>
      <c r="J179" t="s">
        <v>2714</v>
      </c>
      <c r="K179" t="s">
        <v>2038</v>
      </c>
      <c r="L179" t="s">
        <v>2040</v>
      </c>
    </row>
    <row r="180" spans="1:12" ht="16" x14ac:dyDescent="0.2">
      <c r="A180" t="s">
        <v>827</v>
      </c>
      <c r="B180">
        <v>893</v>
      </c>
      <c r="C180" s="3">
        <v>92.856999999999999</v>
      </c>
      <c r="D180">
        <v>1.786</v>
      </c>
      <c r="E180" t="s">
        <v>828</v>
      </c>
      <c r="F180" t="s">
        <v>829</v>
      </c>
      <c r="G180" t="s">
        <v>830</v>
      </c>
      <c r="H180" t="s">
        <v>831</v>
      </c>
      <c r="I180" t="s">
        <v>832</v>
      </c>
      <c r="J180" t="s">
        <v>2714</v>
      </c>
      <c r="K180" t="s">
        <v>2038</v>
      </c>
      <c r="L180" t="s">
        <v>2040</v>
      </c>
    </row>
    <row r="181" spans="1:12" ht="16" x14ac:dyDescent="0.2">
      <c r="A181" t="s">
        <v>318</v>
      </c>
      <c r="B181">
        <v>228</v>
      </c>
      <c r="C181" s="3">
        <v>92.941000000000003</v>
      </c>
      <c r="D181">
        <v>0</v>
      </c>
      <c r="E181" t="s">
        <v>10</v>
      </c>
      <c r="F181" t="s">
        <v>319</v>
      </c>
      <c r="G181" t="s">
        <v>320</v>
      </c>
      <c r="H181" t="str">
        <f>LEFT(I181, FIND(" sp.", I181) - 1)</f>
        <v>Caeciliusidae</v>
      </c>
      <c r="I181" t="s">
        <v>321</v>
      </c>
      <c r="J181" t="s">
        <v>2714</v>
      </c>
      <c r="K181" t="s">
        <v>2038</v>
      </c>
      <c r="L181" t="s">
        <v>2040</v>
      </c>
    </row>
    <row r="182" spans="1:12" ht="16" x14ac:dyDescent="0.2">
      <c r="A182" t="s">
        <v>1004</v>
      </c>
      <c r="B182">
        <v>1155</v>
      </c>
      <c r="C182" s="3">
        <v>93.063999999999993</v>
      </c>
      <c r="D182">
        <v>4.0999999999996803E-2</v>
      </c>
      <c r="E182" t="s">
        <v>10</v>
      </c>
      <c r="F182" t="s">
        <v>10</v>
      </c>
      <c r="G182" t="s">
        <v>10</v>
      </c>
      <c r="H182" t="str">
        <f>LEFT(I182, FIND(" sp.", I182) - 1)</f>
        <v>Cecidomyiidae</v>
      </c>
      <c r="I182" t="s">
        <v>1005</v>
      </c>
      <c r="J182" t="s">
        <v>2714</v>
      </c>
      <c r="K182" t="s">
        <v>2038</v>
      </c>
      <c r="L182" t="s">
        <v>2040</v>
      </c>
    </row>
    <row r="183" spans="1:12" ht="16" x14ac:dyDescent="0.2">
      <c r="A183" t="s">
        <v>357</v>
      </c>
      <c r="B183">
        <v>268</v>
      </c>
      <c r="C183" s="3">
        <v>93.102999999999994</v>
      </c>
      <c r="D183">
        <v>1.1949999999999901</v>
      </c>
      <c r="E183" t="s">
        <v>159</v>
      </c>
      <c r="F183" t="s">
        <v>358</v>
      </c>
      <c r="G183" t="s">
        <v>359</v>
      </c>
      <c r="H183" t="s">
        <v>360</v>
      </c>
      <c r="I183" t="s">
        <v>361</v>
      </c>
      <c r="J183" t="s">
        <v>2714</v>
      </c>
      <c r="K183" t="s">
        <v>2038</v>
      </c>
      <c r="L183" t="s">
        <v>2040</v>
      </c>
    </row>
    <row r="184" spans="1:12" ht="16" x14ac:dyDescent="0.2">
      <c r="A184" t="s">
        <v>1996</v>
      </c>
      <c r="B184">
        <v>2524</v>
      </c>
      <c r="C184" s="3">
        <v>93.143000000000001</v>
      </c>
      <c r="D184">
        <v>0.364999999999995</v>
      </c>
      <c r="E184" t="s">
        <v>10</v>
      </c>
      <c r="F184" t="s">
        <v>1171</v>
      </c>
      <c r="G184" t="s">
        <v>1172</v>
      </c>
      <c r="H184" t="s">
        <v>1997</v>
      </c>
      <c r="I184" t="s">
        <v>1998</v>
      </c>
      <c r="J184" t="s">
        <v>2714</v>
      </c>
      <c r="K184" t="s">
        <v>2038</v>
      </c>
      <c r="L184" t="s">
        <v>2040</v>
      </c>
    </row>
    <row r="185" spans="1:12" ht="16" x14ac:dyDescent="0.2">
      <c r="A185" t="s">
        <v>1673</v>
      </c>
      <c r="B185">
        <v>2065</v>
      </c>
      <c r="C185" s="3">
        <v>93.143000000000001</v>
      </c>
      <c r="D185">
        <v>0.57200000000000295</v>
      </c>
      <c r="E185" t="s">
        <v>10</v>
      </c>
      <c r="F185" t="s">
        <v>10</v>
      </c>
      <c r="G185" t="s">
        <v>1674</v>
      </c>
      <c r="H185" t="s">
        <v>599</v>
      </c>
      <c r="I185" t="s">
        <v>1675</v>
      </c>
      <c r="J185" t="s">
        <v>2714</v>
      </c>
      <c r="K185" t="s">
        <v>2038</v>
      </c>
      <c r="L185" t="s">
        <v>2040</v>
      </c>
    </row>
    <row r="186" spans="1:12" ht="16" x14ac:dyDescent="0.2">
      <c r="A186" t="s">
        <v>1346</v>
      </c>
      <c r="B186">
        <v>1596</v>
      </c>
      <c r="C186" s="3">
        <v>93.150999999999996</v>
      </c>
      <c r="D186">
        <v>0.96299999999999397</v>
      </c>
      <c r="E186" t="s">
        <v>1347</v>
      </c>
      <c r="F186" t="s">
        <v>1348</v>
      </c>
      <c r="G186" t="s">
        <v>1349</v>
      </c>
      <c r="H186" t="str">
        <f>LEFT(I186, FIND(" sp.", I186) - 1)</f>
        <v>Hexanauplia</v>
      </c>
      <c r="I186" t="s">
        <v>324</v>
      </c>
      <c r="J186" t="s">
        <v>2714</v>
      </c>
      <c r="K186" t="s">
        <v>2038</v>
      </c>
      <c r="L186" t="s">
        <v>2040</v>
      </c>
    </row>
    <row r="187" spans="1:12" ht="16" x14ac:dyDescent="0.2">
      <c r="A187" t="s">
        <v>1820</v>
      </c>
      <c r="B187">
        <v>2241</v>
      </c>
      <c r="C187" s="3">
        <v>93.182000000000002</v>
      </c>
      <c r="D187">
        <v>0.36400000000000399</v>
      </c>
      <c r="E187" t="s">
        <v>376</v>
      </c>
      <c r="F187" t="s">
        <v>1821</v>
      </c>
      <c r="H187" t="s">
        <v>47</v>
      </c>
      <c r="I187" t="s">
        <v>48</v>
      </c>
      <c r="J187" t="s">
        <v>2714</v>
      </c>
      <c r="K187" t="s">
        <v>2038</v>
      </c>
      <c r="L187" t="s">
        <v>2040</v>
      </c>
    </row>
    <row r="188" spans="1:12" ht="16" x14ac:dyDescent="0.2">
      <c r="A188" t="s">
        <v>1925</v>
      </c>
      <c r="B188">
        <v>2376</v>
      </c>
      <c r="C188" s="3">
        <v>93.182000000000002</v>
      </c>
      <c r="D188">
        <v>3.9000000000001499E-2</v>
      </c>
      <c r="E188" t="s">
        <v>10</v>
      </c>
      <c r="F188" t="s">
        <v>10</v>
      </c>
      <c r="G188" t="s">
        <v>10</v>
      </c>
      <c r="H188" t="s">
        <v>1926</v>
      </c>
      <c r="I188" t="s">
        <v>1927</v>
      </c>
      <c r="J188" t="s">
        <v>2714</v>
      </c>
      <c r="K188" t="s">
        <v>2038</v>
      </c>
      <c r="L188" t="s">
        <v>2040</v>
      </c>
    </row>
    <row r="189" spans="1:12" ht="16" x14ac:dyDescent="0.2">
      <c r="A189" t="s">
        <v>2023</v>
      </c>
      <c r="B189">
        <v>2575</v>
      </c>
      <c r="C189" s="3">
        <v>93.242999999999995</v>
      </c>
      <c r="D189">
        <v>0.59599999999998898</v>
      </c>
      <c r="E189" t="s">
        <v>11</v>
      </c>
      <c r="F189" t="s">
        <v>11</v>
      </c>
      <c r="G189" t="s">
        <v>324</v>
      </c>
      <c r="H189" t="s">
        <v>1934</v>
      </c>
      <c r="I189" t="s">
        <v>1935</v>
      </c>
      <c r="J189" t="s">
        <v>2714</v>
      </c>
      <c r="K189" t="s">
        <v>2038</v>
      </c>
      <c r="L189" t="s">
        <v>2040</v>
      </c>
    </row>
    <row r="190" spans="1:12" ht="16" x14ac:dyDescent="0.2">
      <c r="A190" t="s">
        <v>1819</v>
      </c>
      <c r="B190">
        <v>2238</v>
      </c>
      <c r="C190" s="3">
        <v>93.242999999999995</v>
      </c>
      <c r="D190">
        <v>1.9930000000000001</v>
      </c>
      <c r="E190" t="s">
        <v>1104</v>
      </c>
      <c r="F190" t="s">
        <v>1739</v>
      </c>
      <c r="G190" t="s">
        <v>1740</v>
      </c>
      <c r="H190" t="s">
        <v>739</v>
      </c>
      <c r="I190" t="s">
        <v>1741</v>
      </c>
      <c r="J190" t="s">
        <v>2714</v>
      </c>
      <c r="K190" t="s">
        <v>2038</v>
      </c>
      <c r="L190" t="s">
        <v>2040</v>
      </c>
    </row>
    <row r="191" spans="1:12" ht="16" x14ac:dyDescent="0.2">
      <c r="A191" t="s">
        <v>246</v>
      </c>
      <c r="B191">
        <v>171</v>
      </c>
      <c r="C191" s="3">
        <v>93.296000000000006</v>
      </c>
      <c r="D191">
        <v>93.296000000000006</v>
      </c>
      <c r="H191" t="s">
        <v>247</v>
      </c>
      <c r="I191" t="s">
        <v>248</v>
      </c>
      <c r="J191" t="s">
        <v>2714</v>
      </c>
      <c r="K191" t="s">
        <v>2038</v>
      </c>
      <c r="L191" t="s">
        <v>2040</v>
      </c>
    </row>
    <row r="192" spans="1:12" ht="16" x14ac:dyDescent="0.2">
      <c r="A192" t="s">
        <v>597</v>
      </c>
      <c r="B192">
        <v>606</v>
      </c>
      <c r="C192" s="3">
        <v>93.296000000000006</v>
      </c>
      <c r="D192">
        <v>0</v>
      </c>
      <c r="E192" t="s">
        <v>10</v>
      </c>
      <c r="F192" t="s">
        <v>11</v>
      </c>
      <c r="G192" t="s">
        <v>598</v>
      </c>
      <c r="H192" t="s">
        <v>599</v>
      </c>
      <c r="I192" t="s">
        <v>600</v>
      </c>
      <c r="J192" t="s">
        <v>2714</v>
      </c>
      <c r="K192" t="s">
        <v>2038</v>
      </c>
      <c r="L192" t="s">
        <v>2040</v>
      </c>
    </row>
    <row r="193" spans="1:12" ht="16" x14ac:dyDescent="0.2">
      <c r="A193" t="s">
        <v>1690</v>
      </c>
      <c r="B193">
        <v>2095</v>
      </c>
      <c r="C193" s="3">
        <v>93.296000000000006</v>
      </c>
      <c r="D193">
        <v>0.51800000000000102</v>
      </c>
      <c r="E193" t="s">
        <v>1199</v>
      </c>
      <c r="F193" t="s">
        <v>1200</v>
      </c>
      <c r="G193" t="s">
        <v>1201</v>
      </c>
      <c r="H193" t="s">
        <v>1691</v>
      </c>
      <c r="I193" t="s">
        <v>1692</v>
      </c>
      <c r="J193" t="s">
        <v>2714</v>
      </c>
      <c r="K193" t="s">
        <v>2038</v>
      </c>
      <c r="L193" t="s">
        <v>2040</v>
      </c>
    </row>
    <row r="194" spans="1:12" ht="16" x14ac:dyDescent="0.2">
      <c r="A194" t="s">
        <v>1730</v>
      </c>
      <c r="B194">
        <v>2148</v>
      </c>
      <c r="C194" s="3">
        <v>93.332999999999998</v>
      </c>
      <c r="D194">
        <v>0.51500000000000101</v>
      </c>
      <c r="E194" t="s">
        <v>49</v>
      </c>
      <c r="F194" t="s">
        <v>11</v>
      </c>
      <c r="G194" t="s">
        <v>50</v>
      </c>
      <c r="H194" t="s">
        <v>124</v>
      </c>
      <c r="I194" t="s">
        <v>125</v>
      </c>
      <c r="J194" t="s">
        <v>2714</v>
      </c>
      <c r="K194" t="s">
        <v>2038</v>
      </c>
      <c r="L194" t="s">
        <v>2040</v>
      </c>
    </row>
    <row r="195" spans="1:12" ht="16" x14ac:dyDescent="0.2">
      <c r="A195" t="s">
        <v>362</v>
      </c>
      <c r="B195">
        <v>271</v>
      </c>
      <c r="C195" s="3">
        <v>93.332999999999998</v>
      </c>
      <c r="D195">
        <v>1.0680000000000001</v>
      </c>
      <c r="E195" t="s">
        <v>10</v>
      </c>
      <c r="F195" t="s">
        <v>10</v>
      </c>
      <c r="G195" t="s">
        <v>363</v>
      </c>
      <c r="H195" t="s">
        <v>364</v>
      </c>
      <c r="I195" t="s">
        <v>365</v>
      </c>
      <c r="J195" t="s">
        <v>2714</v>
      </c>
      <c r="K195" t="s">
        <v>2038</v>
      </c>
      <c r="L195" t="s">
        <v>2040</v>
      </c>
    </row>
    <row r="196" spans="1:12" ht="16" x14ac:dyDescent="0.2">
      <c r="A196" t="s">
        <v>1433</v>
      </c>
      <c r="B196">
        <v>1740</v>
      </c>
      <c r="C196" s="3">
        <v>93.332999999999998</v>
      </c>
      <c r="D196">
        <v>1.4410000000000001</v>
      </c>
      <c r="E196" t="s">
        <v>276</v>
      </c>
      <c r="F196" t="s">
        <v>1434</v>
      </c>
      <c r="G196" t="s">
        <v>1435</v>
      </c>
      <c r="H196" t="str">
        <f>LEFT(I196, FIND(" sp.", I196) - 1)</f>
        <v>Cicadellidae</v>
      </c>
      <c r="I196" t="s">
        <v>1436</v>
      </c>
      <c r="J196" t="s">
        <v>2714</v>
      </c>
      <c r="K196" t="s">
        <v>2038</v>
      </c>
      <c r="L196" t="s">
        <v>2040</v>
      </c>
    </row>
    <row r="197" spans="1:12" ht="16" x14ac:dyDescent="0.2">
      <c r="A197" t="s">
        <v>1704</v>
      </c>
      <c r="B197">
        <v>2111</v>
      </c>
      <c r="C197" s="3">
        <v>93.332999999999998</v>
      </c>
      <c r="D197">
        <v>0</v>
      </c>
      <c r="E197" t="s">
        <v>10</v>
      </c>
      <c r="F197" t="s">
        <v>10</v>
      </c>
      <c r="G197" t="s">
        <v>1705</v>
      </c>
      <c r="H197" t="s">
        <v>1706</v>
      </c>
      <c r="I197" t="s">
        <v>1707</v>
      </c>
      <c r="J197" t="s">
        <v>2714</v>
      </c>
      <c r="K197" t="s">
        <v>2038</v>
      </c>
      <c r="L197" t="s">
        <v>2040</v>
      </c>
    </row>
    <row r="198" spans="1:12" ht="16" x14ac:dyDescent="0.2">
      <c r="A198" t="s">
        <v>1671</v>
      </c>
      <c r="B198">
        <v>2055</v>
      </c>
      <c r="C198" s="3">
        <v>93.332999999999998</v>
      </c>
      <c r="D198">
        <v>0.51500000000000101</v>
      </c>
      <c r="E198" t="s">
        <v>10</v>
      </c>
      <c r="F198" t="s">
        <v>908</v>
      </c>
      <c r="G198" t="s">
        <v>909</v>
      </c>
      <c r="H198" t="s">
        <v>910</v>
      </c>
      <c r="I198" t="s">
        <v>911</v>
      </c>
      <c r="J198" t="s">
        <v>2714</v>
      </c>
      <c r="K198" t="s">
        <v>2038</v>
      </c>
      <c r="L198" t="s">
        <v>2040</v>
      </c>
    </row>
    <row r="199" spans="1:12" ht="16" x14ac:dyDescent="0.2">
      <c r="A199" t="s">
        <v>1498</v>
      </c>
      <c r="B199">
        <v>1842</v>
      </c>
      <c r="C199" s="3">
        <v>93.332999999999998</v>
      </c>
      <c r="D199">
        <v>93.332999999999998</v>
      </c>
      <c r="H199" t="s">
        <v>1499</v>
      </c>
      <c r="I199" t="s">
        <v>1500</v>
      </c>
      <c r="J199" t="s">
        <v>2714</v>
      </c>
      <c r="K199" t="s">
        <v>2038</v>
      </c>
      <c r="L199" t="s">
        <v>2040</v>
      </c>
    </row>
    <row r="200" spans="1:12" ht="16" x14ac:dyDescent="0.2">
      <c r="A200" t="s">
        <v>1748</v>
      </c>
      <c r="B200">
        <v>2170</v>
      </c>
      <c r="C200" s="3">
        <v>93.332999999999998</v>
      </c>
      <c r="D200">
        <v>0.113</v>
      </c>
      <c r="E200" t="s">
        <v>10</v>
      </c>
      <c r="F200" t="s">
        <v>10</v>
      </c>
      <c r="G200" t="s">
        <v>10</v>
      </c>
      <c r="H200" t="s">
        <v>1749</v>
      </c>
      <c r="I200" t="s">
        <v>1750</v>
      </c>
      <c r="J200" t="s">
        <v>2714</v>
      </c>
      <c r="K200" t="s">
        <v>2038</v>
      </c>
      <c r="L200" t="s">
        <v>2040</v>
      </c>
    </row>
    <row r="201" spans="1:12" ht="16" x14ac:dyDescent="0.2">
      <c r="A201" t="s">
        <v>1154</v>
      </c>
      <c r="B201">
        <v>1384</v>
      </c>
      <c r="C201" s="3">
        <v>93.332999999999998</v>
      </c>
      <c r="D201">
        <v>3.69999999999919E-2</v>
      </c>
      <c r="E201" t="s">
        <v>10</v>
      </c>
      <c r="F201" t="s">
        <v>10</v>
      </c>
      <c r="G201" t="s">
        <v>10</v>
      </c>
      <c r="H201" t="s">
        <v>1156</v>
      </c>
      <c r="I201" t="s">
        <v>1157</v>
      </c>
      <c r="J201" t="s">
        <v>2714</v>
      </c>
      <c r="K201" t="s">
        <v>2038</v>
      </c>
      <c r="L201" t="s">
        <v>2040</v>
      </c>
    </row>
    <row r="202" spans="1:12" ht="16" x14ac:dyDescent="0.2">
      <c r="A202" t="s">
        <v>1380</v>
      </c>
      <c r="B202">
        <v>1638</v>
      </c>
      <c r="C202" s="3">
        <v>93.332999999999998</v>
      </c>
      <c r="D202">
        <v>0.55499999999999305</v>
      </c>
      <c r="E202" t="s">
        <v>10</v>
      </c>
      <c r="F202" t="s">
        <v>10</v>
      </c>
      <c r="G202" t="s">
        <v>10</v>
      </c>
      <c r="H202" t="s">
        <v>1171</v>
      </c>
      <c r="I202" t="s">
        <v>1172</v>
      </c>
      <c r="J202" t="s">
        <v>2714</v>
      </c>
      <c r="K202" t="s">
        <v>2038</v>
      </c>
      <c r="L202" t="s">
        <v>2040</v>
      </c>
    </row>
    <row r="203" spans="1:12" ht="16" x14ac:dyDescent="0.2">
      <c r="A203" t="s">
        <v>1830</v>
      </c>
      <c r="B203">
        <v>2259</v>
      </c>
      <c r="C203" s="3">
        <v>93.332999999999998</v>
      </c>
      <c r="D203">
        <v>0.55499999999999305</v>
      </c>
      <c r="E203" t="s">
        <v>10</v>
      </c>
      <c r="F203" t="s">
        <v>10</v>
      </c>
      <c r="G203" t="s">
        <v>10</v>
      </c>
      <c r="H203" t="s">
        <v>1171</v>
      </c>
      <c r="I203" t="s">
        <v>1172</v>
      </c>
      <c r="J203" t="s">
        <v>2714</v>
      </c>
      <c r="K203" t="s">
        <v>2038</v>
      </c>
      <c r="L203" t="s">
        <v>2040</v>
      </c>
    </row>
    <row r="204" spans="1:12" ht="16" x14ac:dyDescent="0.2">
      <c r="A204" t="s">
        <v>523</v>
      </c>
      <c r="B204">
        <v>511</v>
      </c>
      <c r="C204" s="3">
        <v>93.37</v>
      </c>
      <c r="D204">
        <v>0</v>
      </c>
      <c r="E204" t="s">
        <v>10</v>
      </c>
      <c r="F204" t="s">
        <v>10</v>
      </c>
      <c r="G204" t="s">
        <v>220</v>
      </c>
      <c r="H204" t="s">
        <v>222</v>
      </c>
      <c r="I204" t="s">
        <v>223</v>
      </c>
      <c r="J204" t="s">
        <v>2714</v>
      </c>
      <c r="K204" t="s">
        <v>2038</v>
      </c>
      <c r="L204" t="s">
        <v>2040</v>
      </c>
    </row>
    <row r="205" spans="1:12" ht="16" x14ac:dyDescent="0.2">
      <c r="A205" t="s">
        <v>1515</v>
      </c>
      <c r="B205">
        <v>1865</v>
      </c>
      <c r="C205" s="3">
        <v>93.37</v>
      </c>
      <c r="D205">
        <v>3.7000000000006097E-2</v>
      </c>
      <c r="E205" t="s">
        <v>10</v>
      </c>
      <c r="F205" t="s">
        <v>124</v>
      </c>
      <c r="G205" t="s">
        <v>125</v>
      </c>
      <c r="H205" t="s">
        <v>287</v>
      </c>
      <c r="I205" t="s">
        <v>1102</v>
      </c>
      <c r="J205" t="s">
        <v>2714</v>
      </c>
      <c r="K205" t="s">
        <v>2038</v>
      </c>
      <c r="L205" t="s">
        <v>2040</v>
      </c>
    </row>
    <row r="206" spans="1:12" ht="16" x14ac:dyDescent="0.2">
      <c r="A206" t="s">
        <v>1683</v>
      </c>
      <c r="B206">
        <v>2077</v>
      </c>
      <c r="C206" s="3">
        <v>93.37</v>
      </c>
      <c r="D206">
        <v>0</v>
      </c>
      <c r="E206" t="s">
        <v>144</v>
      </c>
      <c r="F206" t="s">
        <v>1684</v>
      </c>
      <c r="G206" t="s">
        <v>1685</v>
      </c>
      <c r="H206" t="s">
        <v>232</v>
      </c>
      <c r="I206" t="s">
        <v>1686</v>
      </c>
      <c r="J206" t="s">
        <v>2714</v>
      </c>
      <c r="K206" t="s">
        <v>2038</v>
      </c>
      <c r="L206" t="s">
        <v>2040</v>
      </c>
    </row>
    <row r="207" spans="1:12" ht="16" x14ac:dyDescent="0.2">
      <c r="A207" t="s">
        <v>1101</v>
      </c>
      <c r="B207">
        <v>1299</v>
      </c>
      <c r="C207" s="3">
        <v>93.37</v>
      </c>
      <c r="D207">
        <v>0</v>
      </c>
      <c r="E207" t="s">
        <v>46</v>
      </c>
      <c r="F207" t="s">
        <v>287</v>
      </c>
      <c r="G207" t="s">
        <v>1102</v>
      </c>
      <c r="H207" t="str">
        <f>LEFT(I207, FIND(" sp.", I207) - 1)</f>
        <v>Gryllidae</v>
      </c>
      <c r="I207" t="s">
        <v>50</v>
      </c>
      <c r="J207" t="s">
        <v>2714</v>
      </c>
      <c r="K207" t="s">
        <v>2038</v>
      </c>
      <c r="L207" t="s">
        <v>2040</v>
      </c>
    </row>
    <row r="208" spans="1:12" ht="16" x14ac:dyDescent="0.2">
      <c r="A208" t="s">
        <v>1365</v>
      </c>
      <c r="B208">
        <v>1615</v>
      </c>
      <c r="C208" s="3">
        <v>93.37</v>
      </c>
      <c r="D208">
        <v>93.37</v>
      </c>
      <c r="H208" t="s">
        <v>115</v>
      </c>
      <c r="I208" t="s">
        <v>116</v>
      </c>
      <c r="J208" t="s">
        <v>2714</v>
      </c>
      <c r="K208" t="s">
        <v>2038</v>
      </c>
      <c r="L208" t="s">
        <v>2040</v>
      </c>
    </row>
    <row r="209" spans="1:12" ht="16" x14ac:dyDescent="0.2">
      <c r="A209" t="s">
        <v>541</v>
      </c>
      <c r="B209">
        <v>528</v>
      </c>
      <c r="C209" s="3">
        <v>93.37</v>
      </c>
      <c r="D209">
        <v>0.55200000000000704</v>
      </c>
      <c r="E209" t="s">
        <v>10</v>
      </c>
      <c r="F209" t="s">
        <v>542</v>
      </c>
      <c r="G209" t="s">
        <v>543</v>
      </c>
      <c r="H209" t="str">
        <f>LEFT(I209, FIND(" sp.", I209) - 1)</f>
        <v>Chironomidae</v>
      </c>
      <c r="I209" t="s">
        <v>544</v>
      </c>
      <c r="J209" t="s">
        <v>2714</v>
      </c>
      <c r="K209" t="s">
        <v>2038</v>
      </c>
      <c r="L209" t="s">
        <v>2040</v>
      </c>
    </row>
    <row r="210" spans="1:12" ht="16" x14ac:dyDescent="0.2">
      <c r="A210" t="s">
        <v>1936</v>
      </c>
      <c r="B210">
        <v>2396</v>
      </c>
      <c r="C210" s="3">
        <v>93.37</v>
      </c>
      <c r="D210">
        <v>0.55200000000000704</v>
      </c>
      <c r="E210" t="s">
        <v>49</v>
      </c>
      <c r="F210" t="s">
        <v>11</v>
      </c>
      <c r="G210" t="s">
        <v>50</v>
      </c>
      <c r="H210" t="s">
        <v>1937</v>
      </c>
      <c r="I210" t="s">
        <v>1938</v>
      </c>
      <c r="J210" t="s">
        <v>2714</v>
      </c>
      <c r="K210" t="s">
        <v>2038</v>
      </c>
      <c r="L210" t="s">
        <v>2040</v>
      </c>
    </row>
    <row r="211" spans="1:12" ht="16" x14ac:dyDescent="0.2">
      <c r="A211" t="s">
        <v>164</v>
      </c>
      <c r="B211">
        <v>109</v>
      </c>
      <c r="C211" s="3">
        <v>93.37</v>
      </c>
      <c r="D211">
        <v>7.3999999999998095E-2</v>
      </c>
      <c r="E211" t="s">
        <v>10</v>
      </c>
      <c r="F211" t="s">
        <v>165</v>
      </c>
      <c r="G211" t="s">
        <v>166</v>
      </c>
      <c r="H211" t="s">
        <v>167</v>
      </c>
      <c r="I211" t="s">
        <v>168</v>
      </c>
      <c r="J211" t="s">
        <v>2714</v>
      </c>
      <c r="K211" t="s">
        <v>2038</v>
      </c>
      <c r="L211" t="s">
        <v>2040</v>
      </c>
    </row>
    <row r="212" spans="1:12" ht="16" x14ac:dyDescent="0.2">
      <c r="A212" t="s">
        <v>1758</v>
      </c>
      <c r="B212">
        <v>2175</v>
      </c>
      <c r="C212" s="3">
        <v>93.37</v>
      </c>
      <c r="D212">
        <v>0</v>
      </c>
      <c r="E212" t="s">
        <v>1759</v>
      </c>
      <c r="F212" t="s">
        <v>1760</v>
      </c>
      <c r="G212" t="s">
        <v>1761</v>
      </c>
      <c r="H212" t="str">
        <f>LEFT(I212, FIND(" sp.", I212) - 1)</f>
        <v>Lepidoptera</v>
      </c>
      <c r="I212" t="s">
        <v>1762</v>
      </c>
      <c r="J212" t="s">
        <v>2714</v>
      </c>
      <c r="K212" t="s">
        <v>2038</v>
      </c>
      <c r="L212" t="s">
        <v>2040</v>
      </c>
    </row>
    <row r="213" spans="1:12" ht="16" x14ac:dyDescent="0.2">
      <c r="A213" t="s">
        <v>1979</v>
      </c>
      <c r="B213">
        <v>2506</v>
      </c>
      <c r="C213" s="3">
        <v>93.37</v>
      </c>
      <c r="D213">
        <v>3.7000000000006097E-2</v>
      </c>
      <c r="E213" t="s">
        <v>10</v>
      </c>
      <c r="F213" t="s">
        <v>10</v>
      </c>
      <c r="G213" t="s">
        <v>1540</v>
      </c>
      <c r="H213" t="s">
        <v>964</v>
      </c>
      <c r="I213" t="s">
        <v>1884</v>
      </c>
      <c r="J213" t="s">
        <v>2714</v>
      </c>
      <c r="K213" t="s">
        <v>2038</v>
      </c>
      <c r="L213" t="s">
        <v>2040</v>
      </c>
    </row>
    <row r="214" spans="1:12" ht="16" x14ac:dyDescent="0.2">
      <c r="A214" t="s">
        <v>63</v>
      </c>
      <c r="B214">
        <v>30</v>
      </c>
      <c r="C214" s="3">
        <v>93.37</v>
      </c>
      <c r="D214">
        <v>93.37</v>
      </c>
      <c r="H214" t="str">
        <f>LEFT(I214, FIND(" sp.", I214) - 1)</f>
        <v>Tarsonemidae</v>
      </c>
      <c r="I214" t="s">
        <v>65</v>
      </c>
      <c r="J214" t="s">
        <v>2714</v>
      </c>
      <c r="K214" t="s">
        <v>2038</v>
      </c>
      <c r="L214" t="s">
        <v>2040</v>
      </c>
    </row>
    <row r="215" spans="1:12" ht="16" x14ac:dyDescent="0.2">
      <c r="A215" t="s">
        <v>637</v>
      </c>
      <c r="B215">
        <v>641</v>
      </c>
      <c r="C215" s="3">
        <v>93.37</v>
      </c>
      <c r="D215">
        <v>0.55200000000000704</v>
      </c>
      <c r="E215" t="s">
        <v>10</v>
      </c>
      <c r="F215" t="s">
        <v>10</v>
      </c>
      <c r="G215" t="s">
        <v>638</v>
      </c>
      <c r="H215" t="str">
        <f>LEFT(I215, FIND(" sp.", I215) - 1)</f>
        <v>Dolichopodidae</v>
      </c>
      <c r="I215" t="s">
        <v>639</v>
      </c>
      <c r="J215" t="s">
        <v>2714</v>
      </c>
      <c r="K215" t="s">
        <v>2038</v>
      </c>
      <c r="L215" t="s">
        <v>2040</v>
      </c>
    </row>
    <row r="216" spans="1:12" ht="16" x14ac:dyDescent="0.2">
      <c r="A216" t="s">
        <v>370</v>
      </c>
      <c r="B216">
        <v>277</v>
      </c>
      <c r="C216" s="3">
        <v>93.37</v>
      </c>
      <c r="D216">
        <v>3.7000000000006097E-2</v>
      </c>
      <c r="E216" t="s">
        <v>241</v>
      </c>
      <c r="F216" t="s">
        <v>11</v>
      </c>
      <c r="G216" t="s">
        <v>260</v>
      </c>
      <c r="H216" t="s">
        <v>43</v>
      </c>
      <c r="I216" t="s">
        <v>44</v>
      </c>
      <c r="J216" t="s">
        <v>2714</v>
      </c>
      <c r="K216" t="s">
        <v>2038</v>
      </c>
      <c r="L216" t="s">
        <v>2040</v>
      </c>
    </row>
    <row r="217" spans="1:12" ht="16" x14ac:dyDescent="0.2">
      <c r="A217" t="s">
        <v>66</v>
      </c>
      <c r="B217">
        <v>32</v>
      </c>
      <c r="C217" s="3">
        <v>93.37</v>
      </c>
      <c r="D217">
        <v>93.37</v>
      </c>
      <c r="H217" t="s">
        <v>67</v>
      </c>
      <c r="I217" t="s">
        <v>68</v>
      </c>
      <c r="J217" t="s">
        <v>2714</v>
      </c>
      <c r="K217" t="s">
        <v>2037</v>
      </c>
      <c r="L217" t="s">
        <v>10</v>
      </c>
    </row>
    <row r="218" spans="1:12" ht="16" x14ac:dyDescent="0.2">
      <c r="A218" t="s">
        <v>1964</v>
      </c>
      <c r="B218">
        <v>2460</v>
      </c>
      <c r="C218" s="3">
        <v>93.406999999999996</v>
      </c>
      <c r="D218">
        <v>93.406999999999996</v>
      </c>
      <c r="H218" t="s">
        <v>815</v>
      </c>
      <c r="I218" t="s">
        <v>816</v>
      </c>
      <c r="J218" t="s">
        <v>2714</v>
      </c>
      <c r="K218" t="s">
        <v>2038</v>
      </c>
      <c r="L218" t="s">
        <v>2040</v>
      </c>
    </row>
    <row r="219" spans="1:12" ht="16" x14ac:dyDescent="0.2">
      <c r="A219" t="s">
        <v>1968</v>
      </c>
      <c r="B219">
        <v>2489</v>
      </c>
      <c r="C219" s="3">
        <v>93.406999999999996</v>
      </c>
      <c r="D219">
        <v>93.406999999999996</v>
      </c>
      <c r="H219" t="s">
        <v>815</v>
      </c>
      <c r="I219" t="s">
        <v>816</v>
      </c>
      <c r="J219" t="s">
        <v>2714</v>
      </c>
      <c r="K219" t="s">
        <v>2038</v>
      </c>
      <c r="L219" t="s">
        <v>2040</v>
      </c>
    </row>
    <row r="220" spans="1:12" ht="16" x14ac:dyDescent="0.2">
      <c r="A220" t="s">
        <v>1971</v>
      </c>
      <c r="B220">
        <v>2497</v>
      </c>
      <c r="C220" s="3">
        <v>93.406999999999996</v>
      </c>
      <c r="D220">
        <v>93.406999999999996</v>
      </c>
      <c r="H220" t="s">
        <v>815</v>
      </c>
      <c r="I220" t="s">
        <v>816</v>
      </c>
      <c r="J220" t="s">
        <v>2714</v>
      </c>
      <c r="K220" t="s">
        <v>2038</v>
      </c>
      <c r="L220" t="s">
        <v>2040</v>
      </c>
    </row>
    <row r="221" spans="1:12" ht="16" x14ac:dyDescent="0.2">
      <c r="A221" t="s">
        <v>1695</v>
      </c>
      <c r="B221">
        <v>2102</v>
      </c>
      <c r="C221" s="3">
        <v>93.406999999999996</v>
      </c>
      <c r="D221">
        <v>0.58899999999999897</v>
      </c>
      <c r="E221" t="s">
        <v>1300</v>
      </c>
      <c r="F221" t="s">
        <v>1696</v>
      </c>
      <c r="G221" t="s">
        <v>1697</v>
      </c>
      <c r="H221" t="s">
        <v>1408</v>
      </c>
      <c r="I221" t="s">
        <v>1409</v>
      </c>
      <c r="J221" t="s">
        <v>2714</v>
      </c>
      <c r="K221" t="s">
        <v>2038</v>
      </c>
      <c r="L221" t="s">
        <v>2040</v>
      </c>
    </row>
    <row r="222" spans="1:12" ht="16" x14ac:dyDescent="0.2">
      <c r="A222" t="s">
        <v>1159</v>
      </c>
      <c r="B222">
        <v>1395</v>
      </c>
      <c r="C222" s="3">
        <v>93.421000000000006</v>
      </c>
      <c r="D222">
        <v>0</v>
      </c>
      <c r="E222" t="s">
        <v>1160</v>
      </c>
      <c r="F222" t="s">
        <v>1161</v>
      </c>
      <c r="G222" t="s">
        <v>1162</v>
      </c>
      <c r="H222" t="s">
        <v>1164</v>
      </c>
      <c r="I222" t="s">
        <v>1165</v>
      </c>
      <c r="J222" t="s">
        <v>2714</v>
      </c>
      <c r="K222" t="s">
        <v>2037</v>
      </c>
      <c r="L222" t="s">
        <v>10</v>
      </c>
    </row>
    <row r="223" spans="1:12" ht="16" x14ac:dyDescent="0.2">
      <c r="A223" t="s">
        <v>1727</v>
      </c>
      <c r="B223">
        <v>2139</v>
      </c>
      <c r="C223" s="3">
        <v>93.421000000000006</v>
      </c>
      <c r="D223">
        <v>0</v>
      </c>
      <c r="E223" t="s">
        <v>1160</v>
      </c>
      <c r="F223" t="s">
        <v>1161</v>
      </c>
      <c r="G223" t="s">
        <v>1162</v>
      </c>
      <c r="H223" t="s">
        <v>1164</v>
      </c>
      <c r="I223" t="s">
        <v>1165</v>
      </c>
      <c r="J223" t="s">
        <v>2714</v>
      </c>
      <c r="K223" t="s">
        <v>2037</v>
      </c>
      <c r="L223" t="s">
        <v>10</v>
      </c>
    </row>
    <row r="224" spans="1:12" ht="16" x14ac:dyDescent="0.2">
      <c r="A224" t="s">
        <v>1024</v>
      </c>
      <c r="B224">
        <v>1209</v>
      </c>
      <c r="C224" s="3">
        <v>93.442999999999998</v>
      </c>
      <c r="D224">
        <v>2.3980000000000001</v>
      </c>
      <c r="E224" t="s">
        <v>1025</v>
      </c>
      <c r="F224" t="s">
        <v>1026</v>
      </c>
      <c r="G224" t="s">
        <v>1027</v>
      </c>
      <c r="H224" t="s">
        <v>1028</v>
      </c>
      <c r="I224" t="s">
        <v>1029</v>
      </c>
      <c r="J224" t="s">
        <v>2714</v>
      </c>
      <c r="K224" t="s">
        <v>2038</v>
      </c>
      <c r="L224" t="s">
        <v>2040</v>
      </c>
    </row>
    <row r="225" spans="1:12" ht="16" x14ac:dyDescent="0.2">
      <c r="A225" t="s">
        <v>1516</v>
      </c>
      <c r="B225">
        <v>1870</v>
      </c>
      <c r="C225" s="3">
        <v>93.442999999999998</v>
      </c>
      <c r="D225">
        <v>1.13499999999999</v>
      </c>
      <c r="E225" t="s">
        <v>1206</v>
      </c>
      <c r="F225" t="s">
        <v>1207</v>
      </c>
      <c r="G225" t="s">
        <v>1517</v>
      </c>
      <c r="H225" t="s">
        <v>815</v>
      </c>
      <c r="I225" t="s">
        <v>816</v>
      </c>
      <c r="J225" t="s">
        <v>2714</v>
      </c>
      <c r="K225" t="s">
        <v>2038</v>
      </c>
      <c r="L225" t="s">
        <v>2040</v>
      </c>
    </row>
    <row r="226" spans="1:12" ht="16" x14ac:dyDescent="0.2">
      <c r="A226" t="s">
        <v>130</v>
      </c>
      <c r="B226">
        <v>72</v>
      </c>
      <c r="C226" s="3">
        <v>93.442999999999998</v>
      </c>
      <c r="D226">
        <v>1.13499999999999</v>
      </c>
      <c r="E226" t="s">
        <v>131</v>
      </c>
      <c r="F226" t="s">
        <v>132</v>
      </c>
      <c r="G226" t="s">
        <v>133</v>
      </c>
      <c r="H226" t="s">
        <v>134</v>
      </c>
      <c r="I226" t="s">
        <v>135</v>
      </c>
      <c r="J226" t="s">
        <v>2714</v>
      </c>
      <c r="K226" t="s">
        <v>2038</v>
      </c>
      <c r="L226" t="s">
        <v>2040</v>
      </c>
    </row>
    <row r="227" spans="1:12" ht="16" x14ac:dyDescent="0.2">
      <c r="A227" t="s">
        <v>1877</v>
      </c>
      <c r="B227">
        <v>2311</v>
      </c>
      <c r="C227" s="3">
        <v>93.442999999999998</v>
      </c>
      <c r="D227">
        <v>93.442999999999998</v>
      </c>
      <c r="H227" t="s">
        <v>1878</v>
      </c>
      <c r="I227" t="s">
        <v>1879</v>
      </c>
      <c r="J227" t="s">
        <v>2714</v>
      </c>
      <c r="K227" t="s">
        <v>2037</v>
      </c>
      <c r="L227" t="s">
        <v>10</v>
      </c>
    </row>
    <row r="228" spans="1:12" ht="16" x14ac:dyDescent="0.2">
      <c r="A228" t="s">
        <v>1518</v>
      </c>
      <c r="B228">
        <v>1874</v>
      </c>
      <c r="C228" s="3">
        <v>93.495999999999995</v>
      </c>
      <c r="D228">
        <v>0.71799999999998898</v>
      </c>
      <c r="E228" t="s">
        <v>10</v>
      </c>
      <c r="F228" t="s">
        <v>10</v>
      </c>
      <c r="G228" t="s">
        <v>10</v>
      </c>
      <c r="H228" t="s">
        <v>1520</v>
      </c>
      <c r="I228" t="s">
        <v>1521</v>
      </c>
      <c r="J228" t="s">
        <v>2714</v>
      </c>
      <c r="K228" t="s">
        <v>2038</v>
      </c>
      <c r="L228" t="s">
        <v>2040</v>
      </c>
    </row>
    <row r="229" spans="1:12" ht="16" x14ac:dyDescent="0.2">
      <c r="A229" t="s">
        <v>756</v>
      </c>
      <c r="B229">
        <v>782</v>
      </c>
      <c r="C229" s="3">
        <v>93.506</v>
      </c>
      <c r="D229">
        <v>1.101</v>
      </c>
      <c r="E229" t="s">
        <v>471</v>
      </c>
      <c r="F229" t="s">
        <v>472</v>
      </c>
      <c r="G229" t="s">
        <v>470</v>
      </c>
      <c r="H229" t="s">
        <v>758</v>
      </c>
      <c r="I229" t="s">
        <v>759</v>
      </c>
      <c r="J229" t="s">
        <v>2714</v>
      </c>
      <c r="K229" t="s">
        <v>2038</v>
      </c>
      <c r="L229" t="s">
        <v>2040</v>
      </c>
    </row>
    <row r="230" spans="1:12" ht="16" x14ac:dyDescent="0.2">
      <c r="A230" t="s">
        <v>1743</v>
      </c>
      <c r="B230">
        <v>2167</v>
      </c>
      <c r="C230" s="3">
        <v>93.548000000000002</v>
      </c>
      <c r="D230">
        <v>0.81100000000000705</v>
      </c>
      <c r="E230" t="s">
        <v>814</v>
      </c>
      <c r="F230" t="s">
        <v>815</v>
      </c>
      <c r="G230" t="s">
        <v>816</v>
      </c>
      <c r="H230" t="s">
        <v>658</v>
      </c>
      <c r="I230" t="s">
        <v>659</v>
      </c>
      <c r="J230" t="s">
        <v>2714</v>
      </c>
      <c r="K230" t="s">
        <v>2038</v>
      </c>
      <c r="L230" t="s">
        <v>2040</v>
      </c>
    </row>
    <row r="231" spans="1:12" ht="16" x14ac:dyDescent="0.2">
      <c r="A231" t="s">
        <v>700</v>
      </c>
      <c r="B231">
        <v>706</v>
      </c>
      <c r="C231" s="3">
        <v>93.617000000000004</v>
      </c>
      <c r="D231">
        <v>93.617000000000004</v>
      </c>
      <c r="H231" t="s">
        <v>701</v>
      </c>
      <c r="I231" t="s">
        <v>702</v>
      </c>
      <c r="J231" t="s">
        <v>2714</v>
      </c>
      <c r="K231" t="s">
        <v>2038</v>
      </c>
      <c r="L231" t="s">
        <v>2040</v>
      </c>
    </row>
    <row r="232" spans="1:12" ht="16" x14ac:dyDescent="0.2">
      <c r="A232" t="s">
        <v>1732</v>
      </c>
      <c r="B232">
        <v>2151</v>
      </c>
      <c r="C232" s="3">
        <v>93.635999999999996</v>
      </c>
      <c r="D232">
        <v>0.57200000000000295</v>
      </c>
      <c r="E232" t="s">
        <v>10</v>
      </c>
      <c r="F232" t="s">
        <v>10</v>
      </c>
      <c r="G232" t="s">
        <v>10</v>
      </c>
      <c r="H232" t="str">
        <f>LEFT(I232, FIND(" sp.", I232) - 1)</f>
        <v>Mymaridae</v>
      </c>
      <c r="I232" t="s">
        <v>1733</v>
      </c>
      <c r="J232" t="s">
        <v>2714</v>
      </c>
      <c r="K232" t="s">
        <v>2038</v>
      </c>
      <c r="L232" t="s">
        <v>2040</v>
      </c>
    </row>
    <row r="233" spans="1:12" ht="16" x14ac:dyDescent="0.2">
      <c r="A233" t="s">
        <v>1371</v>
      </c>
      <c r="B233">
        <v>1621</v>
      </c>
      <c r="C233" s="3">
        <v>93.650999999999996</v>
      </c>
      <c r="D233">
        <v>1.4629999999999901</v>
      </c>
      <c r="J233" t="s">
        <v>2714</v>
      </c>
      <c r="K233" t="s">
        <v>2038</v>
      </c>
      <c r="L233" t="s">
        <v>2040</v>
      </c>
    </row>
    <row r="234" spans="1:12" ht="16" x14ac:dyDescent="0.2">
      <c r="A234" t="s">
        <v>1009</v>
      </c>
      <c r="B234">
        <v>1167</v>
      </c>
      <c r="C234" s="3">
        <v>93.677999999999997</v>
      </c>
      <c r="D234">
        <v>1.0229999999999999</v>
      </c>
      <c r="E234" t="s">
        <v>10</v>
      </c>
      <c r="F234" t="s">
        <v>10</v>
      </c>
      <c r="G234" t="s">
        <v>10</v>
      </c>
      <c r="H234" t="s">
        <v>409</v>
      </c>
      <c r="I234" t="s">
        <v>410</v>
      </c>
      <c r="J234" t="s">
        <v>2714</v>
      </c>
      <c r="K234" t="s">
        <v>2037</v>
      </c>
      <c r="L234" t="s">
        <v>10</v>
      </c>
    </row>
    <row r="235" spans="1:12" ht="16" x14ac:dyDescent="0.2">
      <c r="A235" t="s">
        <v>1106</v>
      </c>
      <c r="B235">
        <v>1306</v>
      </c>
      <c r="C235" s="3">
        <v>93.75</v>
      </c>
      <c r="D235">
        <v>93.75</v>
      </c>
      <c r="H235" t="str">
        <f>LEFT(I235, FIND(" sp.", I235) - 1)</f>
        <v>Cecidomyiidae</v>
      </c>
      <c r="I235" t="s">
        <v>465</v>
      </c>
      <c r="J235" t="s">
        <v>2714</v>
      </c>
      <c r="K235" t="s">
        <v>2038</v>
      </c>
      <c r="L235" t="s">
        <v>2040</v>
      </c>
    </row>
    <row r="236" spans="1:12" ht="16" x14ac:dyDescent="0.2">
      <c r="A236" t="s">
        <v>953</v>
      </c>
      <c r="B236">
        <v>1069</v>
      </c>
      <c r="C236" s="3">
        <v>93.75</v>
      </c>
      <c r="D236">
        <v>2.2009999999999899</v>
      </c>
      <c r="E236" t="s">
        <v>954</v>
      </c>
      <c r="F236" t="s">
        <v>955</v>
      </c>
      <c r="G236" t="s">
        <v>956</v>
      </c>
      <c r="H236" t="str">
        <f>LEFT(I236, FIND(" sp.", I236) - 1)</f>
        <v>Staphylinidae</v>
      </c>
      <c r="I236" t="s">
        <v>957</v>
      </c>
      <c r="J236" t="s">
        <v>2714</v>
      </c>
      <c r="K236" t="s">
        <v>2038</v>
      </c>
      <c r="L236" t="s">
        <v>2040</v>
      </c>
    </row>
    <row r="237" spans="1:12" ht="16" x14ac:dyDescent="0.2">
      <c r="A237" t="s">
        <v>737</v>
      </c>
      <c r="B237">
        <v>760</v>
      </c>
      <c r="C237" s="3">
        <v>93.826999999999998</v>
      </c>
      <c r="D237">
        <v>0</v>
      </c>
      <c r="E237" t="s">
        <v>10</v>
      </c>
      <c r="F237" t="s">
        <v>10</v>
      </c>
      <c r="G237" t="s">
        <v>738</v>
      </c>
      <c r="H237" t="s">
        <v>739</v>
      </c>
      <c r="I237" t="s">
        <v>740</v>
      </c>
      <c r="J237" t="s">
        <v>2714</v>
      </c>
      <c r="K237" t="s">
        <v>2038</v>
      </c>
      <c r="L237" t="s">
        <v>2040</v>
      </c>
    </row>
    <row r="238" spans="1:12" ht="16" x14ac:dyDescent="0.2">
      <c r="A238" t="s">
        <v>785</v>
      </c>
      <c r="B238">
        <v>839</v>
      </c>
      <c r="C238" s="3">
        <v>93.855000000000004</v>
      </c>
      <c r="D238">
        <v>1.1180000000000101</v>
      </c>
      <c r="E238" t="s">
        <v>10</v>
      </c>
      <c r="F238" t="s">
        <v>10</v>
      </c>
      <c r="G238" t="s">
        <v>363</v>
      </c>
      <c r="H238" t="s">
        <v>364</v>
      </c>
      <c r="I238" t="s">
        <v>365</v>
      </c>
      <c r="J238" t="s">
        <v>2714</v>
      </c>
      <c r="K238" t="s">
        <v>2038</v>
      </c>
      <c r="L238" t="s">
        <v>2040</v>
      </c>
    </row>
    <row r="239" spans="1:12" ht="16" x14ac:dyDescent="0.2">
      <c r="A239" t="s">
        <v>1883</v>
      </c>
      <c r="B239">
        <v>2313</v>
      </c>
      <c r="C239" s="3">
        <v>93.855000000000004</v>
      </c>
      <c r="D239">
        <v>0.48499999999999899</v>
      </c>
      <c r="E239" t="s">
        <v>10</v>
      </c>
      <c r="F239" t="s">
        <v>10</v>
      </c>
      <c r="G239" t="s">
        <v>1884</v>
      </c>
      <c r="H239" t="s">
        <v>964</v>
      </c>
      <c r="I239" t="s">
        <v>1885</v>
      </c>
      <c r="J239" t="s">
        <v>2714</v>
      </c>
      <c r="K239" t="s">
        <v>2038</v>
      </c>
      <c r="L239" t="s">
        <v>2040</v>
      </c>
    </row>
    <row r="240" spans="1:12" ht="16" x14ac:dyDescent="0.2">
      <c r="A240" t="s">
        <v>1972</v>
      </c>
      <c r="B240">
        <v>2498</v>
      </c>
      <c r="C240" s="3">
        <v>93.855000000000004</v>
      </c>
      <c r="D240">
        <v>0.55899999999999705</v>
      </c>
      <c r="E240" t="s">
        <v>10</v>
      </c>
      <c r="F240" t="s">
        <v>10</v>
      </c>
      <c r="G240" t="s">
        <v>10</v>
      </c>
      <c r="H240" t="s">
        <v>834</v>
      </c>
      <c r="I240" t="s">
        <v>835</v>
      </c>
      <c r="J240" t="s">
        <v>2714</v>
      </c>
      <c r="K240" t="s">
        <v>2038</v>
      </c>
      <c r="L240" t="s">
        <v>2040</v>
      </c>
    </row>
    <row r="241" spans="1:12" ht="16" x14ac:dyDescent="0.2">
      <c r="A241" t="s">
        <v>1088</v>
      </c>
      <c r="B241">
        <v>1284</v>
      </c>
      <c r="C241" s="3">
        <v>93.888999999999996</v>
      </c>
      <c r="D241">
        <v>0.51899999999999102</v>
      </c>
      <c r="E241" t="s">
        <v>49</v>
      </c>
      <c r="F241" t="s">
        <v>11</v>
      </c>
      <c r="G241" t="s">
        <v>50</v>
      </c>
      <c r="H241" t="s">
        <v>124</v>
      </c>
      <c r="I241" t="s">
        <v>125</v>
      </c>
      <c r="J241" t="s">
        <v>2714</v>
      </c>
      <c r="K241" t="s">
        <v>2038</v>
      </c>
      <c r="L241" t="s">
        <v>2040</v>
      </c>
    </row>
    <row r="242" spans="1:12" ht="16" x14ac:dyDescent="0.2">
      <c r="A242" t="s">
        <v>460</v>
      </c>
      <c r="B242">
        <v>411</v>
      </c>
      <c r="C242" s="3">
        <v>93.888999999999996</v>
      </c>
      <c r="D242">
        <v>1.70999999999999</v>
      </c>
      <c r="E242" t="s">
        <v>461</v>
      </c>
      <c r="F242" t="s">
        <v>462</v>
      </c>
      <c r="J242" t="s">
        <v>2714</v>
      </c>
      <c r="K242" t="s">
        <v>2038</v>
      </c>
      <c r="L242" t="s">
        <v>2040</v>
      </c>
    </row>
    <row r="243" spans="1:12" ht="16" x14ac:dyDescent="0.2">
      <c r="A243" t="s">
        <v>907</v>
      </c>
      <c r="B243">
        <v>1016</v>
      </c>
      <c r="C243" s="3">
        <v>93.888999999999996</v>
      </c>
      <c r="D243">
        <v>0.51899999999999102</v>
      </c>
      <c r="E243" t="s">
        <v>10</v>
      </c>
      <c r="F243" t="s">
        <v>908</v>
      </c>
      <c r="G243" t="s">
        <v>909</v>
      </c>
      <c r="H243" t="s">
        <v>910</v>
      </c>
      <c r="I243" t="s">
        <v>911</v>
      </c>
      <c r="J243" t="s">
        <v>2714</v>
      </c>
      <c r="K243" t="s">
        <v>2038</v>
      </c>
      <c r="L243" t="s">
        <v>2040</v>
      </c>
    </row>
    <row r="244" spans="1:12" ht="16" x14ac:dyDescent="0.2">
      <c r="A244" t="s">
        <v>1330</v>
      </c>
      <c r="B244">
        <v>1576</v>
      </c>
      <c r="C244" s="3">
        <v>93.888999999999996</v>
      </c>
      <c r="D244">
        <v>1.11099999999999</v>
      </c>
      <c r="E244" t="s">
        <v>10</v>
      </c>
      <c r="F244" t="s">
        <v>10</v>
      </c>
      <c r="G244" t="s">
        <v>10</v>
      </c>
      <c r="H244" t="s">
        <v>30</v>
      </c>
      <c r="I244" t="s">
        <v>31</v>
      </c>
      <c r="J244" t="s">
        <v>2714</v>
      </c>
      <c r="K244" t="s">
        <v>2038</v>
      </c>
      <c r="L244" t="s">
        <v>2040</v>
      </c>
    </row>
    <row r="245" spans="1:12" ht="16" x14ac:dyDescent="0.2">
      <c r="A245" t="s">
        <v>1792</v>
      </c>
      <c r="B245">
        <v>2205</v>
      </c>
      <c r="C245" s="3">
        <v>93.888999999999996</v>
      </c>
      <c r="D245">
        <v>0.51899999999999102</v>
      </c>
      <c r="E245" t="s">
        <v>10</v>
      </c>
      <c r="F245" t="s">
        <v>10</v>
      </c>
      <c r="G245" t="s">
        <v>981</v>
      </c>
      <c r="H245" t="s">
        <v>982</v>
      </c>
      <c r="I245" t="s">
        <v>983</v>
      </c>
      <c r="J245" t="s">
        <v>2714</v>
      </c>
      <c r="K245" t="s">
        <v>2038</v>
      </c>
      <c r="L245" t="s">
        <v>2040</v>
      </c>
    </row>
    <row r="246" spans="1:12" ht="16" x14ac:dyDescent="0.2">
      <c r="A246" t="s">
        <v>1892</v>
      </c>
      <c r="B246">
        <v>2322</v>
      </c>
      <c r="C246" s="3">
        <v>93.888999999999996</v>
      </c>
      <c r="D246">
        <v>0.51899999999999102</v>
      </c>
      <c r="E246" t="s">
        <v>10</v>
      </c>
      <c r="F246" t="s">
        <v>10</v>
      </c>
      <c r="G246" t="s">
        <v>981</v>
      </c>
      <c r="H246" t="s">
        <v>982</v>
      </c>
      <c r="I246" t="s">
        <v>983</v>
      </c>
      <c r="J246" t="s">
        <v>2714</v>
      </c>
      <c r="K246" t="s">
        <v>2038</v>
      </c>
      <c r="L246" t="s">
        <v>2040</v>
      </c>
    </row>
    <row r="247" spans="1:12" ht="16" x14ac:dyDescent="0.2">
      <c r="A247" t="s">
        <v>634</v>
      </c>
      <c r="B247">
        <v>637</v>
      </c>
      <c r="C247" s="3">
        <v>93.888999999999996</v>
      </c>
      <c r="D247">
        <v>0</v>
      </c>
      <c r="E247" t="s">
        <v>10</v>
      </c>
      <c r="F247" t="s">
        <v>10</v>
      </c>
      <c r="G247" t="s">
        <v>635</v>
      </c>
      <c r="H247" t="str">
        <f>LEFT(I247, FIND(" sp.", I247) - 1)</f>
        <v>Psychodidae</v>
      </c>
      <c r="I247" t="s">
        <v>636</v>
      </c>
      <c r="J247" t="s">
        <v>2714</v>
      </c>
      <c r="K247" t="s">
        <v>2038</v>
      </c>
      <c r="L247" t="s">
        <v>2040</v>
      </c>
    </row>
    <row r="248" spans="1:12" ht="16" x14ac:dyDescent="0.2">
      <c r="A248" t="s">
        <v>1354</v>
      </c>
      <c r="B248">
        <v>1608</v>
      </c>
      <c r="C248" s="3">
        <v>93.888999999999996</v>
      </c>
      <c r="D248">
        <v>0</v>
      </c>
      <c r="E248" t="s">
        <v>10</v>
      </c>
      <c r="F248" t="s">
        <v>10</v>
      </c>
      <c r="H248" t="s">
        <v>978</v>
      </c>
      <c r="I248" t="s">
        <v>1355</v>
      </c>
      <c r="J248" t="s">
        <v>2714</v>
      </c>
      <c r="K248" t="s">
        <v>2038</v>
      </c>
      <c r="L248" t="s">
        <v>2040</v>
      </c>
    </row>
    <row r="249" spans="1:12" ht="16" x14ac:dyDescent="0.2">
      <c r="A249" t="s">
        <v>2030</v>
      </c>
      <c r="B249">
        <v>2586</v>
      </c>
      <c r="C249" s="3">
        <v>93.888999999999996</v>
      </c>
      <c r="D249">
        <v>3.3999999999991801E-2</v>
      </c>
      <c r="E249" t="s">
        <v>255</v>
      </c>
      <c r="F249" t="s">
        <v>1650</v>
      </c>
      <c r="G249" t="s">
        <v>1651</v>
      </c>
      <c r="H249" t="s">
        <v>1652</v>
      </c>
      <c r="I249" t="s">
        <v>1653</v>
      </c>
      <c r="J249" t="s">
        <v>2714</v>
      </c>
      <c r="K249" t="s">
        <v>2038</v>
      </c>
      <c r="L249" t="s">
        <v>2040</v>
      </c>
    </row>
    <row r="250" spans="1:12" ht="16" x14ac:dyDescent="0.2">
      <c r="A250" t="s">
        <v>1170</v>
      </c>
      <c r="B250">
        <v>1409</v>
      </c>
      <c r="C250" s="3">
        <v>93.888999999999996</v>
      </c>
      <c r="D250">
        <v>0.55599999999999705</v>
      </c>
      <c r="E250" t="s">
        <v>10</v>
      </c>
      <c r="F250" t="s">
        <v>10</v>
      </c>
      <c r="G250" t="s">
        <v>10</v>
      </c>
      <c r="H250" t="s">
        <v>1171</v>
      </c>
      <c r="I250" t="s">
        <v>1172</v>
      </c>
      <c r="J250" t="s">
        <v>2714</v>
      </c>
      <c r="K250" t="s">
        <v>2038</v>
      </c>
      <c r="L250" t="s">
        <v>2040</v>
      </c>
    </row>
    <row r="251" spans="1:12" ht="16" x14ac:dyDescent="0.2">
      <c r="A251" t="s">
        <v>1505</v>
      </c>
      <c r="B251">
        <v>1845</v>
      </c>
      <c r="C251" s="3">
        <v>93.888999999999996</v>
      </c>
      <c r="D251">
        <v>9.9999999999994302E-2</v>
      </c>
      <c r="E251" t="s">
        <v>10</v>
      </c>
      <c r="F251" t="s">
        <v>11</v>
      </c>
      <c r="G251" t="s">
        <v>899</v>
      </c>
      <c r="H251" t="s">
        <v>60</v>
      </c>
      <c r="I251" t="s">
        <v>61</v>
      </c>
      <c r="J251" t="s">
        <v>2714</v>
      </c>
      <c r="K251" t="s">
        <v>2037</v>
      </c>
      <c r="L251" t="s">
        <v>2040</v>
      </c>
    </row>
    <row r="252" spans="1:12" ht="16" x14ac:dyDescent="0.2">
      <c r="A252" t="s">
        <v>1190</v>
      </c>
      <c r="B252">
        <v>1427</v>
      </c>
      <c r="C252" s="3">
        <v>93.923000000000002</v>
      </c>
      <c r="D252">
        <v>0</v>
      </c>
      <c r="E252" t="s">
        <v>10</v>
      </c>
      <c r="F252" t="s">
        <v>735</v>
      </c>
      <c r="G252" t="s">
        <v>736</v>
      </c>
      <c r="H252" t="s">
        <v>1191</v>
      </c>
      <c r="I252" t="s">
        <v>1192</v>
      </c>
      <c r="J252" t="s">
        <v>2714</v>
      </c>
      <c r="K252" t="s">
        <v>2038</v>
      </c>
      <c r="L252" t="s">
        <v>2040</v>
      </c>
    </row>
    <row r="253" spans="1:12" ht="16" x14ac:dyDescent="0.2">
      <c r="A253" t="s">
        <v>1340</v>
      </c>
      <c r="B253">
        <v>1584</v>
      </c>
      <c r="C253" s="3">
        <v>93.923000000000002</v>
      </c>
      <c r="D253">
        <v>0</v>
      </c>
      <c r="E253" t="s">
        <v>10</v>
      </c>
      <c r="F253" t="s">
        <v>735</v>
      </c>
      <c r="G253" t="s">
        <v>736</v>
      </c>
      <c r="H253" t="s">
        <v>1191</v>
      </c>
      <c r="I253" t="s">
        <v>1192</v>
      </c>
      <c r="J253" t="s">
        <v>2714</v>
      </c>
      <c r="K253" t="s">
        <v>2038</v>
      </c>
      <c r="L253" t="s">
        <v>2040</v>
      </c>
    </row>
    <row r="254" spans="1:12" ht="16" x14ac:dyDescent="0.2">
      <c r="A254" t="s">
        <v>1811</v>
      </c>
      <c r="B254">
        <v>2225</v>
      </c>
      <c r="C254" s="3">
        <v>93.923000000000002</v>
      </c>
      <c r="D254">
        <v>0.55299999999999705</v>
      </c>
      <c r="E254" t="s">
        <v>10</v>
      </c>
      <c r="F254" t="s">
        <v>10</v>
      </c>
      <c r="G254" t="s">
        <v>1812</v>
      </c>
      <c r="H254" t="s">
        <v>1191</v>
      </c>
      <c r="I254" t="s">
        <v>1192</v>
      </c>
      <c r="J254" t="s">
        <v>2714</v>
      </c>
      <c r="K254" t="s">
        <v>2038</v>
      </c>
      <c r="L254" t="s">
        <v>2040</v>
      </c>
    </row>
    <row r="255" spans="1:12" ht="16" x14ac:dyDescent="0.2">
      <c r="A255" t="s">
        <v>1315</v>
      </c>
      <c r="B255">
        <v>1562</v>
      </c>
      <c r="C255" s="3">
        <v>93.923000000000002</v>
      </c>
      <c r="D255">
        <v>93.923000000000002</v>
      </c>
      <c r="H255" t="s">
        <v>115</v>
      </c>
      <c r="I255" t="s">
        <v>116</v>
      </c>
      <c r="J255" t="s">
        <v>2714</v>
      </c>
      <c r="K255" t="s">
        <v>2038</v>
      </c>
      <c r="L255" t="s">
        <v>2040</v>
      </c>
    </row>
    <row r="256" spans="1:12" ht="16" x14ac:dyDescent="0.2">
      <c r="A256" t="s">
        <v>1994</v>
      </c>
      <c r="B256">
        <v>2523</v>
      </c>
      <c r="C256" s="3">
        <v>93.923000000000002</v>
      </c>
      <c r="D256">
        <v>3.4000000000005998E-2</v>
      </c>
      <c r="E256" t="s">
        <v>1519</v>
      </c>
      <c r="F256" t="s">
        <v>1637</v>
      </c>
      <c r="G256" t="s">
        <v>1995</v>
      </c>
      <c r="H256" t="s">
        <v>1684</v>
      </c>
      <c r="I256" t="s">
        <v>1685</v>
      </c>
      <c r="J256" t="s">
        <v>2714</v>
      </c>
      <c r="K256" t="s">
        <v>2038</v>
      </c>
      <c r="L256" t="s">
        <v>2040</v>
      </c>
    </row>
    <row r="257" spans="1:12" ht="16" x14ac:dyDescent="0.2">
      <c r="A257" t="s">
        <v>962</v>
      </c>
      <c r="B257">
        <v>1083</v>
      </c>
      <c r="C257" s="3">
        <v>93.923000000000002</v>
      </c>
      <c r="D257">
        <v>3.4000000000005998E-2</v>
      </c>
      <c r="E257" t="s">
        <v>10</v>
      </c>
      <c r="F257" t="s">
        <v>10</v>
      </c>
      <c r="G257" t="s">
        <v>963</v>
      </c>
      <c r="H257" t="s">
        <v>964</v>
      </c>
      <c r="I257" t="s">
        <v>965</v>
      </c>
      <c r="J257" t="s">
        <v>2714</v>
      </c>
      <c r="K257" t="s">
        <v>2038</v>
      </c>
      <c r="L257" t="s">
        <v>2040</v>
      </c>
    </row>
    <row r="258" spans="1:12" ht="16" x14ac:dyDescent="0.2">
      <c r="A258" t="s">
        <v>1116</v>
      </c>
      <c r="B258">
        <v>1319</v>
      </c>
      <c r="C258" s="3">
        <v>93.923000000000002</v>
      </c>
      <c r="D258">
        <v>0.55299999999999705</v>
      </c>
      <c r="E258" t="s">
        <v>10</v>
      </c>
      <c r="F258" t="s">
        <v>10</v>
      </c>
      <c r="G258" t="s">
        <v>979</v>
      </c>
      <c r="H258" t="s">
        <v>978</v>
      </c>
      <c r="I258" t="s">
        <v>1117</v>
      </c>
      <c r="J258" t="s">
        <v>2714</v>
      </c>
      <c r="K258" t="s">
        <v>2038</v>
      </c>
      <c r="L258" t="s">
        <v>2040</v>
      </c>
    </row>
    <row r="259" spans="1:12" ht="16" x14ac:dyDescent="0.2">
      <c r="A259" t="s">
        <v>1682</v>
      </c>
      <c r="B259">
        <v>2073</v>
      </c>
      <c r="C259" s="3">
        <v>93.923000000000002</v>
      </c>
      <c r="D259">
        <v>0</v>
      </c>
      <c r="E259" t="s">
        <v>10</v>
      </c>
      <c r="F259" t="s">
        <v>10</v>
      </c>
      <c r="G259" t="s">
        <v>1668</v>
      </c>
      <c r="H259" t="s">
        <v>1669</v>
      </c>
      <c r="I259" t="s">
        <v>1670</v>
      </c>
      <c r="J259" t="s">
        <v>2714</v>
      </c>
      <c r="K259" t="s">
        <v>2038</v>
      </c>
      <c r="L259" t="s">
        <v>2040</v>
      </c>
    </row>
    <row r="260" spans="1:12" ht="16" x14ac:dyDescent="0.2">
      <c r="A260" t="s">
        <v>1894</v>
      </c>
      <c r="B260">
        <v>2326</v>
      </c>
      <c r="C260" s="3">
        <v>93.923000000000002</v>
      </c>
      <c r="D260">
        <v>3.4000000000005998E-2</v>
      </c>
      <c r="E260" t="s">
        <v>10</v>
      </c>
      <c r="F260" t="s">
        <v>10</v>
      </c>
      <c r="G260" t="s">
        <v>18</v>
      </c>
      <c r="H260" t="s">
        <v>12</v>
      </c>
      <c r="I260" t="s">
        <v>13</v>
      </c>
      <c r="J260" t="s">
        <v>2714</v>
      </c>
      <c r="K260" t="s">
        <v>2038</v>
      </c>
      <c r="L260" t="s">
        <v>2040</v>
      </c>
    </row>
    <row r="261" spans="1:12" ht="16" x14ac:dyDescent="0.2">
      <c r="A261" t="s">
        <v>1458</v>
      </c>
      <c r="B261">
        <v>1784</v>
      </c>
      <c r="C261" s="3">
        <v>93.923000000000002</v>
      </c>
      <c r="D261">
        <v>93.923000000000002</v>
      </c>
      <c r="H261" t="str">
        <f>LEFT(I261, FIND(" sp.", I261) - 1)</f>
        <v>Diptera</v>
      </c>
      <c r="I261" t="s">
        <v>1459</v>
      </c>
      <c r="J261" t="s">
        <v>2714</v>
      </c>
      <c r="K261" t="s">
        <v>2038</v>
      </c>
      <c r="L261" t="s">
        <v>2040</v>
      </c>
    </row>
    <row r="262" spans="1:12" ht="16" x14ac:dyDescent="0.2">
      <c r="A262" t="s">
        <v>486</v>
      </c>
      <c r="B262">
        <v>447</v>
      </c>
      <c r="C262" s="3">
        <v>93.923000000000002</v>
      </c>
      <c r="D262">
        <v>0.55299999999999705</v>
      </c>
      <c r="E262" t="s">
        <v>10</v>
      </c>
      <c r="F262" t="s">
        <v>10</v>
      </c>
      <c r="G262" t="s">
        <v>10</v>
      </c>
      <c r="H262" t="s">
        <v>138</v>
      </c>
      <c r="I262" t="s">
        <v>137</v>
      </c>
      <c r="J262" t="s">
        <v>2714</v>
      </c>
      <c r="K262" t="s">
        <v>2038</v>
      </c>
      <c r="L262" t="s">
        <v>2040</v>
      </c>
    </row>
    <row r="263" spans="1:12" ht="16" x14ac:dyDescent="0.2">
      <c r="A263" t="s">
        <v>206</v>
      </c>
      <c r="B263">
        <v>146</v>
      </c>
      <c r="C263" s="3">
        <v>93.923000000000002</v>
      </c>
      <c r="D263">
        <v>93.923000000000002</v>
      </c>
      <c r="H263" t="s">
        <v>67</v>
      </c>
      <c r="I263" t="s">
        <v>68</v>
      </c>
      <c r="J263" t="s">
        <v>2714</v>
      </c>
      <c r="K263" t="s">
        <v>2037</v>
      </c>
      <c r="L263" t="s">
        <v>10</v>
      </c>
    </row>
    <row r="264" spans="1:12" ht="16" x14ac:dyDescent="0.2">
      <c r="A264" t="s">
        <v>1425</v>
      </c>
      <c r="B264">
        <v>1719</v>
      </c>
      <c r="C264" s="3">
        <v>93.938999999999993</v>
      </c>
      <c r="D264">
        <v>93.938999999999993</v>
      </c>
      <c r="H264" t="str">
        <f>LEFT(I264, FIND(" sp.", I264) - 1)</f>
        <v>Platygastridae</v>
      </c>
      <c r="I264" t="s">
        <v>1426</v>
      </c>
      <c r="J264" t="s">
        <v>2714</v>
      </c>
      <c r="K264" t="s">
        <v>2038</v>
      </c>
      <c r="L264" t="s">
        <v>2040</v>
      </c>
    </row>
    <row r="265" spans="1:12" ht="16" x14ac:dyDescent="0.2">
      <c r="A265" t="s">
        <v>536</v>
      </c>
      <c r="B265">
        <v>526</v>
      </c>
      <c r="C265" s="3">
        <v>94.03</v>
      </c>
      <c r="D265">
        <v>1.383</v>
      </c>
      <c r="E265" t="s">
        <v>23</v>
      </c>
      <c r="F265" t="s">
        <v>537</v>
      </c>
      <c r="G265" t="s">
        <v>538</v>
      </c>
      <c r="H265" t="s">
        <v>539</v>
      </c>
      <c r="I265" t="s">
        <v>540</v>
      </c>
      <c r="J265" t="s">
        <v>2714</v>
      </c>
      <c r="K265" t="s">
        <v>2038</v>
      </c>
      <c r="L265" t="s">
        <v>2040</v>
      </c>
    </row>
    <row r="266" spans="1:12" ht="16" x14ac:dyDescent="0.2">
      <c r="A266" t="s">
        <v>1708</v>
      </c>
      <c r="B266">
        <v>2114</v>
      </c>
      <c r="C266" s="3">
        <v>94.03</v>
      </c>
      <c r="D266">
        <v>1.72199999999999</v>
      </c>
      <c r="E266" t="s">
        <v>1709</v>
      </c>
      <c r="F266" t="s">
        <v>1710</v>
      </c>
      <c r="G266" t="s">
        <v>1711</v>
      </c>
      <c r="H266" t="s">
        <v>1712</v>
      </c>
      <c r="I266" t="s">
        <v>1713</v>
      </c>
      <c r="J266" t="s">
        <v>2714</v>
      </c>
      <c r="K266" t="s">
        <v>2038</v>
      </c>
      <c r="L266" t="s">
        <v>2040</v>
      </c>
    </row>
    <row r="267" spans="1:12" ht="16" x14ac:dyDescent="0.2">
      <c r="A267" t="s">
        <v>657</v>
      </c>
      <c r="B267">
        <v>664</v>
      </c>
      <c r="C267" s="3">
        <v>94.085999999999999</v>
      </c>
      <c r="D267">
        <v>0.57999999999999796</v>
      </c>
      <c r="E267" t="s">
        <v>111</v>
      </c>
      <c r="F267" t="s">
        <v>11</v>
      </c>
      <c r="G267" t="s">
        <v>332</v>
      </c>
      <c r="H267" t="s">
        <v>658</v>
      </c>
      <c r="I267" t="s">
        <v>659</v>
      </c>
      <c r="J267" t="s">
        <v>2714</v>
      </c>
      <c r="K267" t="s">
        <v>2038</v>
      </c>
      <c r="L267" t="s">
        <v>2040</v>
      </c>
    </row>
    <row r="268" spans="1:12" ht="16" x14ac:dyDescent="0.2">
      <c r="A268" t="s">
        <v>1590</v>
      </c>
      <c r="B268">
        <v>1960</v>
      </c>
      <c r="C268" s="3">
        <v>94.117999999999995</v>
      </c>
      <c r="D268">
        <v>1.3639999999999901</v>
      </c>
      <c r="E268" t="s">
        <v>195</v>
      </c>
      <c r="F268" t="s">
        <v>1591</v>
      </c>
      <c r="G268" t="s">
        <v>1592</v>
      </c>
      <c r="H268" t="s">
        <v>1593</v>
      </c>
      <c r="I268" t="s">
        <v>1594</v>
      </c>
      <c r="J268" t="s">
        <v>2714</v>
      </c>
      <c r="K268" t="s">
        <v>2038</v>
      </c>
      <c r="L268" t="s">
        <v>2040</v>
      </c>
    </row>
    <row r="269" spans="1:12" ht="16" x14ac:dyDescent="0.2">
      <c r="A269" t="s">
        <v>984</v>
      </c>
      <c r="B269">
        <v>1143</v>
      </c>
      <c r="C269" s="3">
        <v>94.117999999999995</v>
      </c>
      <c r="D269">
        <v>1.4709999999999901</v>
      </c>
      <c r="E269" t="s">
        <v>985</v>
      </c>
      <c r="F269" t="s">
        <v>986</v>
      </c>
      <c r="G269" t="s">
        <v>987</v>
      </c>
      <c r="H269" t="str">
        <f>LEFT(I269, FIND(" sp.", I269) - 1)</f>
        <v>Chironomidae</v>
      </c>
      <c r="I269" t="s">
        <v>988</v>
      </c>
      <c r="J269" t="s">
        <v>2714</v>
      </c>
      <c r="K269" t="s">
        <v>2038</v>
      </c>
      <c r="L269" t="s">
        <v>2040</v>
      </c>
    </row>
    <row r="270" spans="1:12" ht="16" x14ac:dyDescent="0.2">
      <c r="A270" t="s">
        <v>279</v>
      </c>
      <c r="B270">
        <v>198</v>
      </c>
      <c r="C270" s="3">
        <v>94.117999999999995</v>
      </c>
      <c r="D270">
        <v>2.75999999999999</v>
      </c>
      <c r="E270" t="s">
        <v>280</v>
      </c>
      <c r="F270" t="s">
        <v>281</v>
      </c>
      <c r="G270" t="s">
        <v>282</v>
      </c>
      <c r="H270" t="s">
        <v>284</v>
      </c>
      <c r="I270" t="s">
        <v>285</v>
      </c>
      <c r="J270" t="s">
        <v>2714</v>
      </c>
      <c r="K270" t="s">
        <v>2038</v>
      </c>
      <c r="L270" t="s">
        <v>2040</v>
      </c>
    </row>
    <row r="271" spans="1:12" ht="16" x14ac:dyDescent="0.2">
      <c r="A271" t="s">
        <v>468</v>
      </c>
      <c r="B271">
        <v>416</v>
      </c>
      <c r="C271" s="3">
        <v>94.117999999999995</v>
      </c>
      <c r="D271">
        <v>2.75999999999999</v>
      </c>
      <c r="E271" t="s">
        <v>10</v>
      </c>
      <c r="F271" t="s">
        <v>10</v>
      </c>
      <c r="G271" t="s">
        <v>70</v>
      </c>
      <c r="H271" t="s">
        <v>71</v>
      </c>
      <c r="I271" t="s">
        <v>72</v>
      </c>
      <c r="J271" t="s">
        <v>2714</v>
      </c>
      <c r="K271" t="s">
        <v>2038</v>
      </c>
      <c r="L271" t="s">
        <v>2040</v>
      </c>
    </row>
    <row r="272" spans="1:12" ht="16" x14ac:dyDescent="0.2">
      <c r="A272" t="s">
        <v>1439</v>
      </c>
      <c r="B272">
        <v>1750</v>
      </c>
      <c r="C272" s="3">
        <v>94.203000000000003</v>
      </c>
      <c r="D272">
        <v>0</v>
      </c>
      <c r="E272" t="s">
        <v>10</v>
      </c>
      <c r="F272" t="s">
        <v>10</v>
      </c>
      <c r="G272" t="s">
        <v>665</v>
      </c>
      <c r="H272" t="s">
        <v>666</v>
      </c>
      <c r="I272" t="s">
        <v>667</v>
      </c>
      <c r="J272" t="s">
        <v>2714</v>
      </c>
      <c r="K272" t="s">
        <v>2038</v>
      </c>
      <c r="L272" t="s">
        <v>2040</v>
      </c>
    </row>
    <row r="273" spans="1:12" ht="16" x14ac:dyDescent="0.2">
      <c r="A273" t="s">
        <v>931</v>
      </c>
      <c r="B273">
        <v>1047</v>
      </c>
      <c r="C273" s="3">
        <v>94.253</v>
      </c>
      <c r="D273">
        <v>94.253</v>
      </c>
      <c r="H273" t="str">
        <f>LEFT(I273, FIND(" sp.", I273) - 1)</f>
        <v>Hemiptera</v>
      </c>
      <c r="I273" t="s">
        <v>932</v>
      </c>
      <c r="J273" t="s">
        <v>2714</v>
      </c>
      <c r="K273" t="s">
        <v>2038</v>
      </c>
      <c r="L273" t="s">
        <v>2040</v>
      </c>
    </row>
    <row r="274" spans="1:12" ht="16" x14ac:dyDescent="0.2">
      <c r="A274" t="s">
        <v>1676</v>
      </c>
      <c r="B274">
        <v>2066</v>
      </c>
      <c r="C274" s="3">
        <v>94.286000000000001</v>
      </c>
      <c r="D274">
        <v>0.39700000000000601</v>
      </c>
      <c r="E274" t="s">
        <v>177</v>
      </c>
      <c r="F274" t="s">
        <v>176</v>
      </c>
      <c r="G274" t="s">
        <v>1131</v>
      </c>
      <c r="H274" t="str">
        <f>LEFT(I274, FIND(" sp.", I274) - 1)</f>
        <v>Chloropidae</v>
      </c>
      <c r="I274" t="s">
        <v>1132</v>
      </c>
      <c r="J274" t="s">
        <v>2714</v>
      </c>
      <c r="K274" t="s">
        <v>2038</v>
      </c>
      <c r="L274" t="s">
        <v>2040</v>
      </c>
    </row>
    <row r="275" spans="1:12" ht="16" x14ac:dyDescent="0.2">
      <c r="A275" t="s">
        <v>1581</v>
      </c>
      <c r="B275">
        <v>1952</v>
      </c>
      <c r="C275" s="3">
        <v>94.286000000000001</v>
      </c>
      <c r="D275">
        <v>0</v>
      </c>
      <c r="E275" t="s">
        <v>10</v>
      </c>
      <c r="F275" t="s">
        <v>10</v>
      </c>
      <c r="G275" t="s">
        <v>1582</v>
      </c>
      <c r="H275" t="s">
        <v>1583</v>
      </c>
      <c r="I275" t="s">
        <v>1584</v>
      </c>
      <c r="J275" t="s">
        <v>2714</v>
      </c>
      <c r="K275" t="s">
        <v>2038</v>
      </c>
      <c r="L275" t="s">
        <v>2040</v>
      </c>
    </row>
    <row r="276" spans="1:12" ht="16" x14ac:dyDescent="0.2">
      <c r="A276" t="s">
        <v>447</v>
      </c>
      <c r="B276">
        <v>388</v>
      </c>
      <c r="C276" s="3">
        <v>94.317999999999998</v>
      </c>
      <c r="D276">
        <v>0.56799999999999795</v>
      </c>
      <c r="E276" t="s">
        <v>448</v>
      </c>
      <c r="F276" t="s">
        <v>449</v>
      </c>
      <c r="G276" t="s">
        <v>450</v>
      </c>
      <c r="H276" t="str">
        <f>LEFT(I276, FIND(" sp.", I276) - 1)</f>
        <v>Platygastridae</v>
      </c>
      <c r="I276" t="s">
        <v>451</v>
      </c>
      <c r="J276" t="s">
        <v>2714</v>
      </c>
      <c r="K276" t="s">
        <v>2038</v>
      </c>
      <c r="L276" t="s">
        <v>2040</v>
      </c>
    </row>
    <row r="277" spans="1:12" ht="16" x14ac:dyDescent="0.2">
      <c r="A277" t="s">
        <v>78</v>
      </c>
      <c r="B277">
        <v>40</v>
      </c>
      <c r="C277" s="3">
        <v>94.317999999999998</v>
      </c>
      <c r="D277">
        <v>0.42900000000000199</v>
      </c>
      <c r="E277" t="s">
        <v>79</v>
      </c>
      <c r="F277" t="s">
        <v>11</v>
      </c>
      <c r="H277" t="s">
        <v>81</v>
      </c>
      <c r="I277" t="s">
        <v>82</v>
      </c>
      <c r="J277" t="s">
        <v>2714</v>
      </c>
      <c r="K277" t="s">
        <v>2038</v>
      </c>
      <c r="L277" t="s">
        <v>2040</v>
      </c>
    </row>
    <row r="278" spans="1:12" ht="16" x14ac:dyDescent="0.2">
      <c r="A278" t="s">
        <v>1700</v>
      </c>
      <c r="B278">
        <v>2108</v>
      </c>
      <c r="C278" s="3">
        <v>94.34</v>
      </c>
      <c r="D278">
        <v>94.34</v>
      </c>
      <c r="H278" t="str">
        <f>LEFT(I278, FIND(" sp.", I278) - 1)</f>
        <v>Taeniapterinae</v>
      </c>
      <c r="I278" t="s">
        <v>1701</v>
      </c>
      <c r="J278" t="s">
        <v>2714</v>
      </c>
      <c r="K278" t="s">
        <v>2038</v>
      </c>
      <c r="L278" t="s">
        <v>2040</v>
      </c>
    </row>
    <row r="279" spans="1:12" ht="16" x14ac:dyDescent="0.2">
      <c r="A279" t="s">
        <v>1446</v>
      </c>
      <c r="B279">
        <v>1767</v>
      </c>
      <c r="C279" s="3">
        <v>94.412999999999997</v>
      </c>
      <c r="D279">
        <v>0.26099999999999601</v>
      </c>
      <c r="E279" t="s">
        <v>10</v>
      </c>
      <c r="F279" t="s">
        <v>1447</v>
      </c>
      <c r="G279" t="s">
        <v>1448</v>
      </c>
      <c r="H279" t="str">
        <f>LEFT(I279, FIND(" sp.", I279) - 1)</f>
        <v>Coccinellidae</v>
      </c>
      <c r="I279" t="s">
        <v>113</v>
      </c>
      <c r="J279" t="s">
        <v>2714</v>
      </c>
      <c r="K279" t="s">
        <v>2038</v>
      </c>
      <c r="L279" t="s">
        <v>2040</v>
      </c>
    </row>
    <row r="280" spans="1:12" ht="16" x14ac:dyDescent="0.2">
      <c r="A280" t="s">
        <v>1241</v>
      </c>
      <c r="B280">
        <v>1492</v>
      </c>
      <c r="C280" s="3">
        <v>94.412999999999997</v>
      </c>
      <c r="D280">
        <v>1.0429999999999899</v>
      </c>
      <c r="E280" t="s">
        <v>10</v>
      </c>
      <c r="F280" t="s">
        <v>10</v>
      </c>
      <c r="G280" t="s">
        <v>705</v>
      </c>
      <c r="H280" t="s">
        <v>149</v>
      </c>
      <c r="I280" t="s">
        <v>179</v>
      </c>
      <c r="J280" t="s">
        <v>2714</v>
      </c>
      <c r="K280" t="s">
        <v>2038</v>
      </c>
      <c r="L280" t="s">
        <v>2040</v>
      </c>
    </row>
    <row r="281" spans="1:12" ht="16" x14ac:dyDescent="0.2">
      <c r="A281" t="s">
        <v>1405</v>
      </c>
      <c r="B281">
        <v>1678</v>
      </c>
      <c r="C281" s="3">
        <v>94.444000000000003</v>
      </c>
      <c r="D281">
        <v>0.55500000000000704</v>
      </c>
      <c r="E281" t="s">
        <v>177</v>
      </c>
      <c r="F281" t="s">
        <v>1406</v>
      </c>
      <c r="G281" t="s">
        <v>1407</v>
      </c>
      <c r="H281" t="s">
        <v>1408</v>
      </c>
      <c r="I281" t="s">
        <v>1409</v>
      </c>
      <c r="J281" t="s">
        <v>2714</v>
      </c>
      <c r="K281" t="s">
        <v>2038</v>
      </c>
      <c r="L281" t="s">
        <v>2040</v>
      </c>
    </row>
    <row r="282" spans="1:12" ht="16" x14ac:dyDescent="0.2">
      <c r="A282" t="s">
        <v>1063</v>
      </c>
      <c r="B282">
        <v>1265</v>
      </c>
      <c r="C282" s="3">
        <v>94.444000000000003</v>
      </c>
      <c r="D282">
        <v>1.3880000000000099</v>
      </c>
      <c r="E282" t="s">
        <v>10</v>
      </c>
      <c r="F282" t="s">
        <v>10</v>
      </c>
      <c r="G282" t="s">
        <v>10</v>
      </c>
      <c r="H282" t="s">
        <v>1064</v>
      </c>
      <c r="I282" t="s">
        <v>1065</v>
      </c>
      <c r="J282" t="s">
        <v>2714</v>
      </c>
      <c r="K282" t="s">
        <v>2038</v>
      </c>
      <c r="L282" t="s">
        <v>2040</v>
      </c>
    </row>
    <row r="283" spans="1:12" ht="16" x14ac:dyDescent="0.2">
      <c r="A283" t="s">
        <v>1343</v>
      </c>
      <c r="B283">
        <v>1594</v>
      </c>
      <c r="C283" s="3">
        <v>94.444000000000003</v>
      </c>
      <c r="D283">
        <v>9.4000000000008299E-2</v>
      </c>
      <c r="E283" t="s">
        <v>231</v>
      </c>
      <c r="F283" t="s">
        <v>232</v>
      </c>
      <c r="G283" t="s">
        <v>1344</v>
      </c>
      <c r="H283" t="s">
        <v>229</v>
      </c>
      <c r="I283" t="s">
        <v>327</v>
      </c>
      <c r="J283" t="s">
        <v>2714</v>
      </c>
      <c r="K283" t="s">
        <v>2038</v>
      </c>
      <c r="L283" t="s">
        <v>2040</v>
      </c>
    </row>
    <row r="284" spans="1:12" ht="16" x14ac:dyDescent="0.2">
      <c r="A284" t="s">
        <v>1415</v>
      </c>
      <c r="B284">
        <v>1696</v>
      </c>
      <c r="C284" s="3">
        <v>94.444000000000003</v>
      </c>
      <c r="D284">
        <v>0.52100000000000102</v>
      </c>
      <c r="E284" t="s">
        <v>10</v>
      </c>
      <c r="F284" t="s">
        <v>10</v>
      </c>
      <c r="G284" t="s">
        <v>981</v>
      </c>
      <c r="H284" t="s">
        <v>982</v>
      </c>
      <c r="I284" t="s">
        <v>983</v>
      </c>
      <c r="J284" t="s">
        <v>2714</v>
      </c>
      <c r="K284" t="s">
        <v>2038</v>
      </c>
      <c r="L284" t="s">
        <v>2040</v>
      </c>
    </row>
    <row r="285" spans="1:12" ht="16" x14ac:dyDescent="0.2">
      <c r="A285" t="s">
        <v>1965</v>
      </c>
      <c r="B285">
        <v>2467</v>
      </c>
      <c r="C285" s="3">
        <v>94.444000000000003</v>
      </c>
      <c r="D285">
        <v>3.1000000000005901E-2</v>
      </c>
      <c r="E285" t="s">
        <v>255</v>
      </c>
      <c r="F285" t="s">
        <v>1650</v>
      </c>
      <c r="G285" t="s">
        <v>1651</v>
      </c>
      <c r="H285" t="s">
        <v>1652</v>
      </c>
      <c r="I285" t="s">
        <v>1653</v>
      </c>
      <c r="J285" t="s">
        <v>2714</v>
      </c>
      <c r="K285" t="s">
        <v>2038</v>
      </c>
      <c r="L285" t="s">
        <v>2040</v>
      </c>
    </row>
    <row r="286" spans="1:12" ht="16" x14ac:dyDescent="0.2">
      <c r="A286" t="s">
        <v>898</v>
      </c>
      <c r="B286">
        <v>1003</v>
      </c>
      <c r="C286" s="3">
        <v>94.444000000000003</v>
      </c>
      <c r="D286">
        <v>3.4000000000005998E-2</v>
      </c>
      <c r="E286" t="s">
        <v>10</v>
      </c>
      <c r="F286" t="s">
        <v>11</v>
      </c>
      <c r="G286" t="s">
        <v>899</v>
      </c>
      <c r="H286" t="s">
        <v>60</v>
      </c>
      <c r="I286" t="s">
        <v>61</v>
      </c>
      <c r="J286" t="s">
        <v>2714</v>
      </c>
      <c r="K286" t="s">
        <v>2037</v>
      </c>
      <c r="L286" t="s">
        <v>2040</v>
      </c>
    </row>
    <row r="287" spans="1:12" ht="16" x14ac:dyDescent="0.2">
      <c r="A287" t="s">
        <v>91</v>
      </c>
      <c r="B287">
        <v>49</v>
      </c>
      <c r="C287" s="3">
        <v>94.444000000000003</v>
      </c>
      <c r="D287">
        <v>3.1000000000005901E-2</v>
      </c>
      <c r="E287" t="s">
        <v>10</v>
      </c>
      <c r="F287" t="s">
        <v>10</v>
      </c>
      <c r="G287" t="s">
        <v>92</v>
      </c>
      <c r="H287" t="s">
        <v>93</v>
      </c>
      <c r="I287" t="s">
        <v>94</v>
      </c>
      <c r="J287" t="s">
        <v>2714</v>
      </c>
      <c r="K287" t="s">
        <v>2037</v>
      </c>
      <c r="L287" t="s">
        <v>10</v>
      </c>
    </row>
    <row r="288" spans="1:12" ht="16" x14ac:dyDescent="0.2">
      <c r="A288" t="s">
        <v>617</v>
      </c>
      <c r="B288">
        <v>622</v>
      </c>
      <c r="C288" s="3">
        <v>94.444000000000003</v>
      </c>
      <c r="D288">
        <v>0.126000000000005</v>
      </c>
      <c r="E288" t="s">
        <v>80</v>
      </c>
      <c r="F288" t="s">
        <v>81</v>
      </c>
      <c r="H288" t="s">
        <v>11</v>
      </c>
      <c r="J288" t="s">
        <v>2714</v>
      </c>
      <c r="L288" t="s">
        <v>2040</v>
      </c>
    </row>
    <row r="289" spans="1:12" ht="16" x14ac:dyDescent="0.2">
      <c r="A289" t="s">
        <v>1452</v>
      </c>
      <c r="B289">
        <v>1779</v>
      </c>
      <c r="C289" s="3">
        <v>94.474999999999994</v>
      </c>
      <c r="D289">
        <v>3.0999999999991701E-2</v>
      </c>
      <c r="E289" t="s">
        <v>46</v>
      </c>
      <c r="F289" t="s">
        <v>124</v>
      </c>
      <c r="G289" t="s">
        <v>125</v>
      </c>
      <c r="H289" t="str">
        <f>LEFT(I289, FIND(" sp.", I289) - 1)</f>
        <v>Gryllidae</v>
      </c>
      <c r="I289" t="s">
        <v>50</v>
      </c>
      <c r="J289" t="s">
        <v>2714</v>
      </c>
      <c r="K289" t="s">
        <v>2038</v>
      </c>
      <c r="L289" t="s">
        <v>2040</v>
      </c>
    </row>
    <row r="290" spans="1:12" ht="16" x14ac:dyDescent="0.2">
      <c r="A290" t="s">
        <v>1647</v>
      </c>
      <c r="B290">
        <v>2015</v>
      </c>
      <c r="C290" s="3">
        <v>94.474999999999994</v>
      </c>
      <c r="D290">
        <v>3.0999999999991701E-2</v>
      </c>
      <c r="E290" t="s">
        <v>46</v>
      </c>
      <c r="F290" t="s">
        <v>47</v>
      </c>
      <c r="G290" t="s">
        <v>48</v>
      </c>
      <c r="H290" t="str">
        <f>LEFT(I290, FIND(" sp.", I290) - 1)</f>
        <v>Gryllidae</v>
      </c>
      <c r="I290" t="s">
        <v>50</v>
      </c>
      <c r="J290" t="s">
        <v>2714</v>
      </c>
      <c r="K290" t="s">
        <v>2038</v>
      </c>
      <c r="L290" t="s">
        <v>2040</v>
      </c>
    </row>
    <row r="291" spans="1:12" ht="16" x14ac:dyDescent="0.2">
      <c r="A291" t="s">
        <v>123</v>
      </c>
      <c r="B291">
        <v>70</v>
      </c>
      <c r="C291" s="3">
        <v>94.474999999999994</v>
      </c>
      <c r="D291">
        <v>3.0999999999991701E-2</v>
      </c>
      <c r="E291" t="s">
        <v>46</v>
      </c>
      <c r="F291" t="s">
        <v>124</v>
      </c>
      <c r="G291" t="s">
        <v>125</v>
      </c>
      <c r="H291" t="str">
        <f>LEFT(I291, FIND(" sp.", I291) - 1)</f>
        <v>Gryllidae</v>
      </c>
      <c r="I291" t="s">
        <v>50</v>
      </c>
      <c r="J291" t="s">
        <v>2714</v>
      </c>
      <c r="K291" t="s">
        <v>2038</v>
      </c>
      <c r="L291" t="s">
        <v>2040</v>
      </c>
    </row>
    <row r="292" spans="1:12" ht="16" x14ac:dyDescent="0.2">
      <c r="A292" t="s">
        <v>413</v>
      </c>
      <c r="B292">
        <v>335</v>
      </c>
      <c r="C292" s="3">
        <v>94.474999999999994</v>
      </c>
      <c r="D292">
        <v>0</v>
      </c>
      <c r="E292" t="s">
        <v>10</v>
      </c>
      <c r="F292" t="s">
        <v>10</v>
      </c>
      <c r="G292" t="s">
        <v>414</v>
      </c>
      <c r="H292" t="s">
        <v>415</v>
      </c>
      <c r="I292" t="s">
        <v>416</v>
      </c>
      <c r="J292" t="s">
        <v>2714</v>
      </c>
      <c r="K292" t="s">
        <v>2038</v>
      </c>
      <c r="L292" t="s">
        <v>2040</v>
      </c>
    </row>
    <row r="293" spans="1:12" ht="16" x14ac:dyDescent="0.2">
      <c r="A293" t="s">
        <v>867</v>
      </c>
      <c r="B293">
        <v>942</v>
      </c>
      <c r="C293" s="3">
        <v>94.474999999999994</v>
      </c>
      <c r="D293">
        <v>3.0999999999991701E-2</v>
      </c>
      <c r="E293" t="s">
        <v>10</v>
      </c>
      <c r="F293" t="s">
        <v>10</v>
      </c>
      <c r="G293" t="s">
        <v>868</v>
      </c>
      <c r="H293" t="str">
        <f>LEFT(I293, FIND(" sp.", I293) - 1)</f>
        <v>Cecidomyiidae</v>
      </c>
      <c r="I293" t="s">
        <v>869</v>
      </c>
      <c r="J293" t="s">
        <v>2714</v>
      </c>
      <c r="K293" t="s">
        <v>2038</v>
      </c>
      <c r="L293" t="s">
        <v>2040</v>
      </c>
    </row>
    <row r="294" spans="1:12" ht="16" x14ac:dyDescent="0.2">
      <c r="A294" t="s">
        <v>630</v>
      </c>
      <c r="B294">
        <v>634</v>
      </c>
      <c r="C294" s="3">
        <v>94.474999999999994</v>
      </c>
      <c r="D294">
        <v>3.0999999999991701E-2</v>
      </c>
      <c r="E294" t="s">
        <v>10</v>
      </c>
      <c r="F294" t="s">
        <v>10</v>
      </c>
      <c r="G294" t="s">
        <v>10</v>
      </c>
      <c r="H294" t="str">
        <f>LEFT(I294, FIND(" sp.", I294) - 1)</f>
        <v>Coccinellidae</v>
      </c>
      <c r="I294" t="s">
        <v>113</v>
      </c>
      <c r="J294" t="s">
        <v>2714</v>
      </c>
      <c r="K294" t="s">
        <v>2038</v>
      </c>
      <c r="L294" t="s">
        <v>2040</v>
      </c>
    </row>
    <row r="295" spans="1:12" ht="16" x14ac:dyDescent="0.2">
      <c r="A295" t="s">
        <v>112</v>
      </c>
      <c r="B295">
        <v>64</v>
      </c>
      <c r="C295" s="3">
        <v>94.474999999999994</v>
      </c>
      <c r="D295">
        <v>3.0999999999991701E-2</v>
      </c>
      <c r="E295" t="s">
        <v>10</v>
      </c>
      <c r="F295" t="s">
        <v>10</v>
      </c>
      <c r="G295" t="s">
        <v>10</v>
      </c>
      <c r="H295" t="str">
        <f>LEFT(I295, FIND(" sp.", I295) - 1)</f>
        <v>Coccinellidae</v>
      </c>
      <c r="I295" t="s">
        <v>113</v>
      </c>
      <c r="J295" t="s">
        <v>2714</v>
      </c>
      <c r="K295" t="s">
        <v>2038</v>
      </c>
      <c r="L295" t="s">
        <v>2040</v>
      </c>
    </row>
    <row r="296" spans="1:12" ht="16" x14ac:dyDescent="0.2">
      <c r="A296" t="s">
        <v>2012</v>
      </c>
      <c r="B296">
        <v>2560</v>
      </c>
      <c r="C296" s="3">
        <v>94.474999999999994</v>
      </c>
      <c r="D296">
        <v>0</v>
      </c>
      <c r="E296" t="s">
        <v>177</v>
      </c>
      <c r="F296" t="s">
        <v>1406</v>
      </c>
      <c r="G296" t="s">
        <v>1941</v>
      </c>
      <c r="H296" t="s">
        <v>1623</v>
      </c>
      <c r="I296" t="s">
        <v>1942</v>
      </c>
      <c r="J296" t="s">
        <v>2714</v>
      </c>
      <c r="K296" t="s">
        <v>2038</v>
      </c>
      <c r="L296" t="s">
        <v>2040</v>
      </c>
    </row>
    <row r="297" spans="1:12" ht="16" x14ac:dyDescent="0.2">
      <c r="A297" t="s">
        <v>925</v>
      </c>
      <c r="B297">
        <v>1029</v>
      </c>
      <c r="C297" s="3">
        <v>94.474999999999994</v>
      </c>
      <c r="D297">
        <v>3.0999999999991701E-2</v>
      </c>
      <c r="E297" t="s">
        <v>255</v>
      </c>
      <c r="F297" t="s">
        <v>256</v>
      </c>
      <c r="G297" t="s">
        <v>257</v>
      </c>
      <c r="H297" t="str">
        <f>LEFT(I297, FIND(" sp.", I297) - 1)</f>
        <v>Lepidoptera</v>
      </c>
      <c r="I297" t="s">
        <v>258</v>
      </c>
      <c r="J297" t="s">
        <v>2714</v>
      </c>
      <c r="K297" t="s">
        <v>2038</v>
      </c>
      <c r="L297" t="s">
        <v>2040</v>
      </c>
    </row>
    <row r="298" spans="1:12" ht="16" x14ac:dyDescent="0.2">
      <c r="A298" t="s">
        <v>42</v>
      </c>
      <c r="B298">
        <v>19</v>
      </c>
      <c r="C298" s="3">
        <v>94.474999999999994</v>
      </c>
      <c r="D298">
        <v>3.0999999999991701E-2</v>
      </c>
      <c r="E298" t="s">
        <v>10</v>
      </c>
      <c r="F298" t="s">
        <v>10</v>
      </c>
      <c r="G298" t="s">
        <v>10</v>
      </c>
      <c r="H298" t="s">
        <v>43</v>
      </c>
      <c r="I298" t="s">
        <v>44</v>
      </c>
      <c r="J298" t="s">
        <v>2714</v>
      </c>
      <c r="K298" t="s">
        <v>2038</v>
      </c>
      <c r="L298" t="s">
        <v>2040</v>
      </c>
    </row>
    <row r="299" spans="1:12" ht="16" x14ac:dyDescent="0.2">
      <c r="A299" t="s">
        <v>546</v>
      </c>
      <c r="B299">
        <v>537</v>
      </c>
      <c r="C299" s="3">
        <v>94.474999999999994</v>
      </c>
      <c r="D299">
        <v>1.1419999999999999</v>
      </c>
      <c r="E299" t="s">
        <v>10</v>
      </c>
      <c r="F299" t="s">
        <v>10</v>
      </c>
      <c r="G299" t="s">
        <v>547</v>
      </c>
      <c r="H299" t="s">
        <v>548</v>
      </c>
      <c r="I299" t="s">
        <v>549</v>
      </c>
      <c r="J299" t="s">
        <v>2714</v>
      </c>
      <c r="K299" t="s">
        <v>2038</v>
      </c>
      <c r="L299" t="s">
        <v>2040</v>
      </c>
    </row>
    <row r="300" spans="1:12" ht="16" x14ac:dyDescent="0.2">
      <c r="A300" t="s">
        <v>996</v>
      </c>
      <c r="B300">
        <v>1149</v>
      </c>
      <c r="C300" s="3">
        <v>94.474999999999994</v>
      </c>
      <c r="D300">
        <v>1.10499999999999</v>
      </c>
      <c r="E300" t="s">
        <v>10</v>
      </c>
      <c r="F300" t="s">
        <v>11</v>
      </c>
      <c r="G300" t="s">
        <v>997</v>
      </c>
      <c r="H300" t="s">
        <v>998</v>
      </c>
      <c r="I300" t="s">
        <v>999</v>
      </c>
      <c r="J300" t="s">
        <v>2714</v>
      </c>
      <c r="K300" t="s">
        <v>2038</v>
      </c>
      <c r="L300" t="s">
        <v>2040</v>
      </c>
    </row>
    <row r="301" spans="1:12" ht="16" x14ac:dyDescent="0.2">
      <c r="A301" t="s">
        <v>1649</v>
      </c>
      <c r="B301">
        <v>2027</v>
      </c>
      <c r="C301" s="3">
        <v>94.474999999999994</v>
      </c>
      <c r="D301">
        <v>6.1999999999997599E-2</v>
      </c>
      <c r="E301" t="s">
        <v>255</v>
      </c>
      <c r="F301" t="s">
        <v>1650</v>
      </c>
      <c r="G301" t="s">
        <v>1651</v>
      </c>
      <c r="H301" t="s">
        <v>1652</v>
      </c>
      <c r="I301" t="s">
        <v>1653</v>
      </c>
      <c r="J301" t="s">
        <v>2714</v>
      </c>
      <c r="K301" t="s">
        <v>2038</v>
      </c>
      <c r="L301" t="s">
        <v>2040</v>
      </c>
    </row>
    <row r="302" spans="1:12" ht="16" x14ac:dyDescent="0.2">
      <c r="A302" t="s">
        <v>259</v>
      </c>
      <c r="B302">
        <v>179</v>
      </c>
      <c r="C302" s="3">
        <v>94.474999999999994</v>
      </c>
      <c r="D302">
        <v>3.0999999999991701E-2</v>
      </c>
      <c r="E302" t="s">
        <v>241</v>
      </c>
      <c r="F302" t="s">
        <v>11</v>
      </c>
      <c r="G302" t="s">
        <v>260</v>
      </c>
      <c r="H302" t="s">
        <v>43</v>
      </c>
      <c r="I302" t="s">
        <v>44</v>
      </c>
      <c r="J302" t="s">
        <v>2714</v>
      </c>
      <c r="K302" t="s">
        <v>2038</v>
      </c>
      <c r="L302" t="s">
        <v>2040</v>
      </c>
    </row>
    <row r="303" spans="1:12" ht="16" x14ac:dyDescent="0.2">
      <c r="A303" t="s">
        <v>1779</v>
      </c>
      <c r="B303">
        <v>2190</v>
      </c>
      <c r="C303" s="3">
        <v>94.474999999999994</v>
      </c>
      <c r="D303">
        <v>3.0999999999991701E-2</v>
      </c>
      <c r="E303" t="s">
        <v>10</v>
      </c>
      <c r="F303" t="s">
        <v>10</v>
      </c>
      <c r="G303" t="s">
        <v>10</v>
      </c>
      <c r="H303" t="s">
        <v>43</v>
      </c>
      <c r="I303" t="s">
        <v>44</v>
      </c>
      <c r="J303" t="s">
        <v>2714</v>
      </c>
      <c r="K303" t="s">
        <v>2038</v>
      </c>
      <c r="L303" t="s">
        <v>2040</v>
      </c>
    </row>
    <row r="304" spans="1:12" ht="16" x14ac:dyDescent="0.2">
      <c r="A304" t="s">
        <v>151</v>
      </c>
      <c r="B304">
        <v>82</v>
      </c>
      <c r="C304" s="3">
        <v>94.474999999999994</v>
      </c>
      <c r="D304">
        <v>3.0999999999991701E-2</v>
      </c>
      <c r="E304" t="s">
        <v>10</v>
      </c>
      <c r="F304" t="s">
        <v>10</v>
      </c>
      <c r="G304" t="s">
        <v>10</v>
      </c>
      <c r="H304" t="s">
        <v>43</v>
      </c>
      <c r="I304" t="s">
        <v>44</v>
      </c>
      <c r="J304" t="s">
        <v>2714</v>
      </c>
      <c r="K304" t="s">
        <v>2038</v>
      </c>
      <c r="L304" t="s">
        <v>2040</v>
      </c>
    </row>
    <row r="305" spans="1:12" ht="16" x14ac:dyDescent="0.2">
      <c r="A305" t="s">
        <v>1205</v>
      </c>
      <c r="B305">
        <v>1445</v>
      </c>
      <c r="C305" s="3">
        <v>94.521000000000001</v>
      </c>
      <c r="D305">
        <v>94.521000000000001</v>
      </c>
      <c r="H305" t="s">
        <v>1207</v>
      </c>
      <c r="I305" t="s">
        <v>1208</v>
      </c>
      <c r="J305" t="s">
        <v>2714</v>
      </c>
      <c r="K305" t="s">
        <v>2038</v>
      </c>
      <c r="L305" t="s">
        <v>2040</v>
      </c>
    </row>
    <row r="306" spans="1:12" ht="16" x14ac:dyDescent="0.2">
      <c r="A306" t="s">
        <v>692</v>
      </c>
      <c r="B306">
        <v>696</v>
      </c>
      <c r="C306" s="3">
        <v>94.536000000000001</v>
      </c>
      <c r="D306">
        <v>9.1999999999998694E-2</v>
      </c>
      <c r="E306" t="s">
        <v>10</v>
      </c>
      <c r="F306" t="s">
        <v>10</v>
      </c>
      <c r="G306" t="s">
        <v>693</v>
      </c>
      <c r="H306" t="str">
        <f>LEFT(I306, FIND(" sp.", I306) - 1)</f>
        <v>Tetranychidae</v>
      </c>
      <c r="I306" t="s">
        <v>694</v>
      </c>
      <c r="J306" t="s">
        <v>2714</v>
      </c>
      <c r="K306" t="s">
        <v>2038</v>
      </c>
      <c r="L306" t="s">
        <v>2040</v>
      </c>
    </row>
    <row r="307" spans="1:12" ht="16" x14ac:dyDescent="0.2">
      <c r="A307" t="s">
        <v>1738</v>
      </c>
      <c r="B307">
        <v>2164</v>
      </c>
      <c r="C307" s="3">
        <v>94.594999999999999</v>
      </c>
      <c r="D307">
        <v>2.0950000000000002</v>
      </c>
      <c r="E307" t="s">
        <v>1104</v>
      </c>
      <c r="F307" t="s">
        <v>1739</v>
      </c>
      <c r="G307" t="s">
        <v>1740</v>
      </c>
      <c r="H307" t="s">
        <v>739</v>
      </c>
      <c r="I307" t="s">
        <v>1741</v>
      </c>
      <c r="J307" t="s">
        <v>2714</v>
      </c>
      <c r="K307" t="s">
        <v>2038</v>
      </c>
      <c r="L307" t="s">
        <v>2040</v>
      </c>
    </row>
    <row r="308" spans="1:12" ht="16" x14ac:dyDescent="0.2">
      <c r="A308" t="s">
        <v>1228</v>
      </c>
      <c r="B308">
        <v>1475</v>
      </c>
      <c r="C308" s="3">
        <v>94.623999999999995</v>
      </c>
      <c r="D308">
        <v>2.4159999999999999</v>
      </c>
      <c r="E308" t="s">
        <v>1229</v>
      </c>
      <c r="F308" t="s">
        <v>1230</v>
      </c>
      <c r="G308" t="s">
        <v>1231</v>
      </c>
      <c r="H308" t="s">
        <v>658</v>
      </c>
      <c r="I308" t="s">
        <v>659</v>
      </c>
      <c r="J308" t="s">
        <v>2714</v>
      </c>
      <c r="K308" t="s">
        <v>2038</v>
      </c>
      <c r="L308" t="s">
        <v>2040</v>
      </c>
    </row>
    <row r="309" spans="1:12" ht="16" x14ac:dyDescent="0.2">
      <c r="A309" t="s">
        <v>1625</v>
      </c>
      <c r="B309">
        <v>1988</v>
      </c>
      <c r="C309" s="3">
        <v>94.656000000000006</v>
      </c>
      <c r="D309">
        <v>1.5130000000000099</v>
      </c>
      <c r="E309" t="s">
        <v>10</v>
      </c>
      <c r="F309" t="s">
        <v>10</v>
      </c>
      <c r="G309" t="s">
        <v>10</v>
      </c>
      <c r="H309" t="s">
        <v>1552</v>
      </c>
      <c r="I309" t="s">
        <v>1553</v>
      </c>
      <c r="J309" t="s">
        <v>2714</v>
      </c>
      <c r="K309" t="s">
        <v>2038</v>
      </c>
      <c r="L309" t="s">
        <v>2040</v>
      </c>
    </row>
    <row r="310" spans="1:12" ht="16" x14ac:dyDescent="0.2">
      <c r="A310" t="s">
        <v>1258</v>
      </c>
      <c r="B310">
        <v>1522</v>
      </c>
      <c r="C310" s="3">
        <v>94.736999999999995</v>
      </c>
      <c r="D310">
        <v>2.8019999999999898</v>
      </c>
      <c r="E310" t="s">
        <v>464</v>
      </c>
      <c r="F310" t="s">
        <v>11</v>
      </c>
      <c r="G310" t="s">
        <v>1259</v>
      </c>
      <c r="H310" t="s">
        <v>1260</v>
      </c>
      <c r="I310" t="s">
        <v>1261</v>
      </c>
      <c r="J310" t="s">
        <v>2714</v>
      </c>
      <c r="K310" t="s">
        <v>2038</v>
      </c>
      <c r="L310" t="s">
        <v>2040</v>
      </c>
    </row>
    <row r="311" spans="1:12" ht="16" x14ac:dyDescent="0.2">
      <c r="A311" t="s">
        <v>1627</v>
      </c>
      <c r="B311">
        <v>1993</v>
      </c>
      <c r="C311" s="3">
        <v>94.805000000000007</v>
      </c>
      <c r="D311">
        <v>0.21000000000000801</v>
      </c>
      <c r="E311" t="s">
        <v>10</v>
      </c>
      <c r="F311" t="s">
        <v>10</v>
      </c>
      <c r="G311" t="s">
        <v>10</v>
      </c>
      <c r="H311" t="s">
        <v>1628</v>
      </c>
      <c r="I311" t="s">
        <v>1629</v>
      </c>
      <c r="J311" t="s">
        <v>2714</v>
      </c>
      <c r="K311" t="s">
        <v>2038</v>
      </c>
      <c r="L311" t="s">
        <v>2040</v>
      </c>
    </row>
    <row r="312" spans="1:12" ht="16" x14ac:dyDescent="0.2">
      <c r="A312" t="s">
        <v>1737</v>
      </c>
      <c r="B312">
        <v>2162</v>
      </c>
      <c r="C312" s="3">
        <v>94.805000000000007</v>
      </c>
      <c r="D312">
        <v>0.21000000000000801</v>
      </c>
      <c r="E312" t="s">
        <v>10</v>
      </c>
      <c r="F312" t="s">
        <v>10</v>
      </c>
      <c r="G312" t="s">
        <v>10</v>
      </c>
      <c r="H312" t="s">
        <v>1628</v>
      </c>
      <c r="I312" t="s">
        <v>1629</v>
      </c>
      <c r="J312" t="s">
        <v>2714</v>
      </c>
      <c r="K312" t="s">
        <v>2038</v>
      </c>
      <c r="L312" t="s">
        <v>2040</v>
      </c>
    </row>
    <row r="313" spans="1:12" ht="16" x14ac:dyDescent="0.2">
      <c r="A313" t="s">
        <v>1130</v>
      </c>
      <c r="B313">
        <v>1342</v>
      </c>
      <c r="C313" s="3">
        <v>94.856999999999999</v>
      </c>
      <c r="D313">
        <v>0.96800000000000397</v>
      </c>
      <c r="E313" t="s">
        <v>177</v>
      </c>
      <c r="F313" t="s">
        <v>176</v>
      </c>
      <c r="G313" t="s">
        <v>1131</v>
      </c>
      <c r="H313" t="str">
        <f>LEFT(I313, FIND(" sp.", I313) - 1)</f>
        <v>Chloropidae</v>
      </c>
      <c r="I313" t="s">
        <v>1132</v>
      </c>
      <c r="J313" t="s">
        <v>2714</v>
      </c>
      <c r="K313" t="s">
        <v>2038</v>
      </c>
      <c r="L313" t="s">
        <v>2040</v>
      </c>
    </row>
    <row r="314" spans="1:12" ht="16" x14ac:dyDescent="0.2">
      <c r="A314" t="s">
        <v>1173</v>
      </c>
      <c r="B314">
        <v>1411</v>
      </c>
      <c r="C314" s="3">
        <v>94.885999999999996</v>
      </c>
      <c r="D314">
        <v>0</v>
      </c>
      <c r="E314" t="s">
        <v>675</v>
      </c>
      <c r="F314" t="s">
        <v>1174</v>
      </c>
      <c r="G314" t="s">
        <v>1175</v>
      </c>
      <c r="H314" t="s">
        <v>1176</v>
      </c>
      <c r="I314" t="s">
        <v>1177</v>
      </c>
      <c r="J314" t="s">
        <v>2714</v>
      </c>
      <c r="K314" t="s">
        <v>2038</v>
      </c>
      <c r="L314" t="s">
        <v>2040</v>
      </c>
    </row>
    <row r="315" spans="1:12" ht="16" x14ac:dyDescent="0.2">
      <c r="A315" t="s">
        <v>1531</v>
      </c>
      <c r="B315">
        <v>1884</v>
      </c>
      <c r="C315" s="3">
        <v>94.885999999999996</v>
      </c>
      <c r="D315">
        <v>0.96299999999999397</v>
      </c>
      <c r="E315" t="s">
        <v>1493</v>
      </c>
      <c r="F315" t="s">
        <v>11</v>
      </c>
      <c r="G315" t="s">
        <v>1532</v>
      </c>
      <c r="H315" t="s">
        <v>47</v>
      </c>
      <c r="I315" t="s">
        <v>48</v>
      </c>
      <c r="J315" t="s">
        <v>2714</v>
      </c>
      <c r="K315" t="s">
        <v>2038</v>
      </c>
      <c r="L315" t="s">
        <v>2040</v>
      </c>
    </row>
    <row r="316" spans="1:12" ht="16" x14ac:dyDescent="0.2">
      <c r="A316" t="s">
        <v>1476</v>
      </c>
      <c r="B316">
        <v>1817</v>
      </c>
      <c r="C316" s="3">
        <v>94.885999999999996</v>
      </c>
      <c r="D316">
        <v>0.56799999999999795</v>
      </c>
      <c r="E316" t="s">
        <v>10</v>
      </c>
      <c r="F316" t="s">
        <v>10</v>
      </c>
      <c r="G316" t="s">
        <v>10</v>
      </c>
      <c r="H316" t="s">
        <v>334</v>
      </c>
      <c r="I316" t="s">
        <v>335</v>
      </c>
      <c r="J316" t="s">
        <v>2714</v>
      </c>
      <c r="K316" t="s">
        <v>2038</v>
      </c>
      <c r="L316" t="s">
        <v>2040</v>
      </c>
    </row>
    <row r="317" spans="1:12" ht="16" x14ac:dyDescent="0.2">
      <c r="A317" t="s">
        <v>73</v>
      </c>
      <c r="B317">
        <v>34</v>
      </c>
      <c r="C317" s="3">
        <v>94.885999999999996</v>
      </c>
      <c r="D317">
        <v>0.41100000000000098</v>
      </c>
      <c r="E317" t="s">
        <v>10</v>
      </c>
      <c r="F317" t="s">
        <v>10</v>
      </c>
      <c r="G317" t="s">
        <v>74</v>
      </c>
      <c r="H317" t="s">
        <v>75</v>
      </c>
      <c r="I317" t="s">
        <v>76</v>
      </c>
      <c r="J317" t="s">
        <v>2714</v>
      </c>
      <c r="K317" t="s">
        <v>2038</v>
      </c>
      <c r="L317" t="s">
        <v>2040</v>
      </c>
    </row>
    <row r="318" spans="1:12" ht="16" x14ac:dyDescent="0.2">
      <c r="A318" t="s">
        <v>1913</v>
      </c>
      <c r="B318">
        <v>2352</v>
      </c>
      <c r="C318" s="3">
        <v>94.971999999999994</v>
      </c>
      <c r="D318">
        <v>0.497</v>
      </c>
      <c r="E318" t="s">
        <v>10</v>
      </c>
      <c r="F318" t="s">
        <v>10</v>
      </c>
      <c r="G318" t="s">
        <v>1914</v>
      </c>
      <c r="H318" t="s">
        <v>176</v>
      </c>
      <c r="I318" t="s">
        <v>1492</v>
      </c>
      <c r="J318" t="s">
        <v>2714</v>
      </c>
      <c r="K318" t="s">
        <v>2038</v>
      </c>
      <c r="L318" t="s">
        <v>2040</v>
      </c>
    </row>
    <row r="319" spans="1:12" ht="16" x14ac:dyDescent="0.2">
      <c r="A319" t="s">
        <v>704</v>
      </c>
      <c r="B319">
        <v>711</v>
      </c>
      <c r="C319" s="3">
        <v>94.971999999999994</v>
      </c>
      <c r="D319">
        <v>1.0489999999999899</v>
      </c>
      <c r="E319" t="s">
        <v>10</v>
      </c>
      <c r="F319" t="s">
        <v>10</v>
      </c>
      <c r="G319" t="s">
        <v>705</v>
      </c>
      <c r="H319" t="s">
        <v>149</v>
      </c>
      <c r="I319" t="s">
        <v>179</v>
      </c>
      <c r="J319" t="s">
        <v>2714</v>
      </c>
      <c r="K319" t="s">
        <v>2038</v>
      </c>
      <c r="L319" t="s">
        <v>2040</v>
      </c>
    </row>
    <row r="320" spans="1:12" ht="16" x14ac:dyDescent="0.2">
      <c r="A320" t="s">
        <v>1137</v>
      </c>
      <c r="B320">
        <v>1346</v>
      </c>
      <c r="C320" s="3">
        <v>94.971999999999994</v>
      </c>
      <c r="D320">
        <v>0.55899999999999705</v>
      </c>
      <c r="E320" t="s">
        <v>10</v>
      </c>
      <c r="F320" t="s">
        <v>10</v>
      </c>
      <c r="G320" t="s">
        <v>10</v>
      </c>
      <c r="H320" t="s">
        <v>834</v>
      </c>
      <c r="I320" t="s">
        <v>835</v>
      </c>
      <c r="J320" t="s">
        <v>2714</v>
      </c>
      <c r="K320" t="s">
        <v>2715</v>
      </c>
      <c r="L320" t="s">
        <v>2040</v>
      </c>
    </row>
    <row r="321" spans="1:12" ht="16" x14ac:dyDescent="0.2">
      <c r="A321" t="s">
        <v>1204</v>
      </c>
      <c r="B321">
        <v>1443</v>
      </c>
      <c r="C321" s="4">
        <v>95</v>
      </c>
      <c r="D321">
        <v>95</v>
      </c>
      <c r="H321" t="s">
        <v>121</v>
      </c>
      <c r="I321" t="s">
        <v>122</v>
      </c>
      <c r="J321" t="s">
        <v>2038</v>
      </c>
      <c r="K321" t="s">
        <v>2038</v>
      </c>
      <c r="L321" t="s">
        <v>2040</v>
      </c>
    </row>
    <row r="322" spans="1:12" ht="16" x14ac:dyDescent="0.2">
      <c r="A322" t="s">
        <v>1417</v>
      </c>
      <c r="B322">
        <v>1707</v>
      </c>
      <c r="C322" s="4">
        <v>95</v>
      </c>
      <c r="D322">
        <v>8.4999999999993706E-2</v>
      </c>
      <c r="E322" t="s">
        <v>1418</v>
      </c>
      <c r="F322" t="s">
        <v>1419</v>
      </c>
      <c r="G322" t="s">
        <v>1420</v>
      </c>
      <c r="H322" t="s">
        <v>1421</v>
      </c>
      <c r="I322" t="s">
        <v>1422</v>
      </c>
      <c r="J322" t="s">
        <v>2038</v>
      </c>
      <c r="K322" t="s">
        <v>2038</v>
      </c>
      <c r="L322" t="s">
        <v>2040</v>
      </c>
    </row>
    <row r="323" spans="1:12" ht="16" x14ac:dyDescent="0.2">
      <c r="A323" t="s">
        <v>1249</v>
      </c>
      <c r="B323">
        <v>1508</v>
      </c>
      <c r="C323" s="4">
        <v>95</v>
      </c>
      <c r="D323">
        <v>0</v>
      </c>
      <c r="E323" t="s">
        <v>10</v>
      </c>
      <c r="F323" t="s">
        <v>10</v>
      </c>
      <c r="G323" t="s">
        <v>1250</v>
      </c>
      <c r="H323" t="str">
        <f>LEFT(I323, FIND(" sp.", I323) - 1)</f>
        <v>Curculionidae</v>
      </c>
      <c r="I323" t="s">
        <v>1251</v>
      </c>
      <c r="J323" t="s">
        <v>2038</v>
      </c>
      <c r="K323" t="s">
        <v>2038</v>
      </c>
      <c r="L323" t="s">
        <v>2040</v>
      </c>
    </row>
    <row r="324" spans="1:12" ht="16" x14ac:dyDescent="0.2">
      <c r="A324" t="s">
        <v>1287</v>
      </c>
      <c r="B324">
        <v>1545</v>
      </c>
      <c r="C324" s="4">
        <v>95</v>
      </c>
      <c r="D324">
        <v>0</v>
      </c>
      <c r="E324" t="s">
        <v>10</v>
      </c>
      <c r="F324" t="s">
        <v>10</v>
      </c>
      <c r="G324" t="s">
        <v>1250</v>
      </c>
      <c r="H324" t="str">
        <f>LEFT(I324, FIND(" sp.", I324) - 1)</f>
        <v>Curculionidae</v>
      </c>
      <c r="I324" t="s">
        <v>1251</v>
      </c>
      <c r="J324" t="s">
        <v>2038</v>
      </c>
      <c r="K324" t="s">
        <v>2038</v>
      </c>
      <c r="L324" t="s">
        <v>2040</v>
      </c>
    </row>
    <row r="325" spans="1:12" ht="16" x14ac:dyDescent="0.2">
      <c r="A325" t="s">
        <v>2033</v>
      </c>
      <c r="B325">
        <v>2600</v>
      </c>
      <c r="C325" s="4">
        <v>95</v>
      </c>
      <c r="D325">
        <v>0.55599999999999705</v>
      </c>
      <c r="E325" t="s">
        <v>10</v>
      </c>
      <c r="F325" t="s">
        <v>11</v>
      </c>
      <c r="G325" t="s">
        <v>2034</v>
      </c>
      <c r="H325" t="s">
        <v>1564</v>
      </c>
      <c r="I325" t="s">
        <v>1565</v>
      </c>
      <c r="J325" t="s">
        <v>2038</v>
      </c>
      <c r="K325" t="s">
        <v>2038</v>
      </c>
      <c r="L325" t="s">
        <v>2040</v>
      </c>
    </row>
    <row r="326" spans="1:12" ht="16" x14ac:dyDescent="0.2">
      <c r="A326" t="s">
        <v>1460</v>
      </c>
      <c r="B326">
        <v>1790</v>
      </c>
      <c r="C326" s="4">
        <v>95</v>
      </c>
      <c r="D326">
        <v>0.52500000000000602</v>
      </c>
      <c r="E326" t="s">
        <v>10</v>
      </c>
      <c r="F326" t="s">
        <v>10</v>
      </c>
      <c r="G326" t="s">
        <v>326</v>
      </c>
      <c r="H326" t="s">
        <v>229</v>
      </c>
      <c r="I326" t="s">
        <v>327</v>
      </c>
      <c r="J326" t="s">
        <v>2038</v>
      </c>
      <c r="K326" t="s">
        <v>2038</v>
      </c>
      <c r="L326" t="s">
        <v>2040</v>
      </c>
    </row>
    <row r="327" spans="1:12" ht="16" x14ac:dyDescent="0.2">
      <c r="A327" t="s">
        <v>980</v>
      </c>
      <c r="B327">
        <v>1142</v>
      </c>
      <c r="C327" s="4">
        <v>95</v>
      </c>
      <c r="D327">
        <v>0.52500000000000602</v>
      </c>
      <c r="E327" t="s">
        <v>10</v>
      </c>
      <c r="F327" t="s">
        <v>10</v>
      </c>
      <c r="G327" t="s">
        <v>981</v>
      </c>
      <c r="H327" t="s">
        <v>982</v>
      </c>
      <c r="I327" t="s">
        <v>983</v>
      </c>
      <c r="J327" t="s">
        <v>2038</v>
      </c>
      <c r="K327" t="s">
        <v>2038</v>
      </c>
      <c r="L327" t="s">
        <v>2040</v>
      </c>
    </row>
    <row r="328" spans="1:12" ht="16" x14ac:dyDescent="0.2">
      <c r="A328" t="s">
        <v>1307</v>
      </c>
      <c r="B328">
        <v>1556</v>
      </c>
      <c r="C328" s="4">
        <v>95</v>
      </c>
      <c r="D328">
        <v>95</v>
      </c>
      <c r="H328" t="s">
        <v>964</v>
      </c>
      <c r="I328" t="s">
        <v>1308</v>
      </c>
      <c r="J328" t="s">
        <v>2038</v>
      </c>
      <c r="K328" t="s">
        <v>2038</v>
      </c>
      <c r="L328" t="s">
        <v>2040</v>
      </c>
    </row>
    <row r="329" spans="1:12" ht="16" x14ac:dyDescent="0.2">
      <c r="A329" t="s">
        <v>1850</v>
      </c>
      <c r="B329">
        <v>2272</v>
      </c>
      <c r="C329" s="4">
        <v>95</v>
      </c>
      <c r="D329">
        <v>0.52500000000000602</v>
      </c>
      <c r="E329" t="s">
        <v>476</v>
      </c>
      <c r="F329" t="s">
        <v>1298</v>
      </c>
      <c r="G329" t="s">
        <v>1299</v>
      </c>
      <c r="H329" t="str">
        <f>LEFT(I329, FIND(" sp.", I329) - 1)</f>
        <v>Phoridae</v>
      </c>
      <c r="I329" t="s">
        <v>1301</v>
      </c>
      <c r="J329" t="s">
        <v>2038</v>
      </c>
      <c r="K329" t="s">
        <v>2038</v>
      </c>
      <c r="L329" t="s">
        <v>2040</v>
      </c>
    </row>
    <row r="330" spans="1:12" ht="16" x14ac:dyDescent="0.2">
      <c r="A330" t="s">
        <v>1262</v>
      </c>
      <c r="B330">
        <v>1524</v>
      </c>
      <c r="C330" s="4">
        <v>95</v>
      </c>
      <c r="D330">
        <v>0.52500000000000602</v>
      </c>
      <c r="E330" t="s">
        <v>1155</v>
      </c>
      <c r="F330" t="s">
        <v>1263</v>
      </c>
      <c r="G330" t="s">
        <v>1264</v>
      </c>
      <c r="H330" t="s">
        <v>1265</v>
      </c>
      <c r="I330" t="s">
        <v>1266</v>
      </c>
      <c r="J330" t="s">
        <v>2038</v>
      </c>
      <c r="K330" t="s">
        <v>2038</v>
      </c>
      <c r="L330" t="s">
        <v>2040</v>
      </c>
    </row>
    <row r="331" spans="1:12" ht="16" x14ac:dyDescent="0.2">
      <c r="A331" t="s">
        <v>1870</v>
      </c>
      <c r="B331">
        <v>2308</v>
      </c>
      <c r="C331" s="4">
        <v>95</v>
      </c>
      <c r="D331">
        <v>0.52500000000000602</v>
      </c>
      <c r="E331" t="s">
        <v>11</v>
      </c>
      <c r="F331" t="s">
        <v>11</v>
      </c>
      <c r="G331" t="s">
        <v>1871</v>
      </c>
      <c r="H331" t="s">
        <v>1872</v>
      </c>
      <c r="I331" t="s">
        <v>1873</v>
      </c>
      <c r="J331" t="s">
        <v>2038</v>
      </c>
      <c r="K331" t="s">
        <v>2038</v>
      </c>
      <c r="L331" t="s">
        <v>2040</v>
      </c>
    </row>
    <row r="332" spans="1:12" ht="16" x14ac:dyDescent="0.2">
      <c r="A332" t="s">
        <v>98</v>
      </c>
      <c r="B332">
        <v>53</v>
      </c>
      <c r="C332" s="4">
        <v>95</v>
      </c>
      <c r="D332">
        <v>0.20199999999999799</v>
      </c>
      <c r="E332" t="s">
        <v>99</v>
      </c>
      <c r="F332" t="s">
        <v>11</v>
      </c>
      <c r="G332" t="s">
        <v>100</v>
      </c>
      <c r="H332" t="s">
        <v>101</v>
      </c>
      <c r="I332" t="s">
        <v>102</v>
      </c>
      <c r="J332" t="s">
        <v>2038</v>
      </c>
      <c r="K332" t="s">
        <v>2038</v>
      </c>
      <c r="L332" t="s">
        <v>2040</v>
      </c>
    </row>
    <row r="333" spans="1:12" ht="16" x14ac:dyDescent="0.2">
      <c r="A333" t="s">
        <v>1390</v>
      </c>
      <c r="B333">
        <v>1648</v>
      </c>
      <c r="C333" s="4">
        <v>95</v>
      </c>
      <c r="D333">
        <v>0.49500000000000499</v>
      </c>
      <c r="E333" t="s">
        <v>431</v>
      </c>
      <c r="F333" t="s">
        <v>1357</v>
      </c>
      <c r="G333" t="s">
        <v>1358</v>
      </c>
      <c r="H333" t="s">
        <v>226</v>
      </c>
      <c r="I333" t="s">
        <v>1359</v>
      </c>
      <c r="J333" t="s">
        <v>2037</v>
      </c>
      <c r="K333" t="s">
        <v>2037</v>
      </c>
      <c r="L333" t="s">
        <v>10</v>
      </c>
    </row>
    <row r="334" spans="1:12" ht="16" x14ac:dyDescent="0.2">
      <c r="A334" t="s">
        <v>1847</v>
      </c>
      <c r="B334">
        <v>2269</v>
      </c>
      <c r="C334" s="4">
        <v>95</v>
      </c>
      <c r="D334">
        <v>0.58700000000000296</v>
      </c>
      <c r="E334" t="s">
        <v>10</v>
      </c>
      <c r="F334" t="s">
        <v>10</v>
      </c>
      <c r="G334" t="s">
        <v>1848</v>
      </c>
      <c r="H334" t="s">
        <v>226</v>
      </c>
      <c r="I334" t="s">
        <v>1645</v>
      </c>
      <c r="J334" t="s">
        <v>2037</v>
      </c>
      <c r="K334" t="s">
        <v>2037</v>
      </c>
      <c r="L334" t="s">
        <v>10</v>
      </c>
    </row>
    <row r="335" spans="1:12" ht="16" x14ac:dyDescent="0.2">
      <c r="A335" t="s">
        <v>1844</v>
      </c>
      <c r="B335">
        <v>2267</v>
      </c>
      <c r="C335" s="4">
        <v>95.028000000000006</v>
      </c>
      <c r="D335">
        <v>0.55300000000001104</v>
      </c>
      <c r="E335" t="s">
        <v>10</v>
      </c>
      <c r="F335" t="s">
        <v>10</v>
      </c>
      <c r="G335" t="s">
        <v>10</v>
      </c>
      <c r="H335" t="s">
        <v>1845</v>
      </c>
      <c r="I335" t="s">
        <v>1846</v>
      </c>
      <c r="J335" t="s">
        <v>2038</v>
      </c>
      <c r="K335" t="s">
        <v>2038</v>
      </c>
      <c r="L335" t="s">
        <v>2040</v>
      </c>
    </row>
    <row r="336" spans="1:12" ht="16" x14ac:dyDescent="0.2">
      <c r="A336" t="s">
        <v>924</v>
      </c>
      <c r="B336">
        <v>1028</v>
      </c>
      <c r="C336" s="4">
        <v>95.028000000000006</v>
      </c>
      <c r="D336">
        <v>0.55300000000001104</v>
      </c>
      <c r="E336" t="s">
        <v>10</v>
      </c>
      <c r="F336" t="s">
        <v>10</v>
      </c>
      <c r="G336" t="s">
        <v>10</v>
      </c>
      <c r="H336" t="s">
        <v>364</v>
      </c>
      <c r="I336" t="s">
        <v>453</v>
      </c>
      <c r="J336" t="s">
        <v>2038</v>
      </c>
      <c r="K336" t="s">
        <v>2038</v>
      </c>
      <c r="L336" t="s">
        <v>2040</v>
      </c>
    </row>
    <row r="337" spans="1:12" ht="16" x14ac:dyDescent="0.2">
      <c r="A337" t="s">
        <v>45</v>
      </c>
      <c r="B337">
        <v>20</v>
      </c>
      <c r="C337" s="4">
        <v>95.028000000000006</v>
      </c>
      <c r="D337">
        <v>1.6950000000000101</v>
      </c>
      <c r="E337" t="s">
        <v>46</v>
      </c>
      <c r="F337" t="s">
        <v>47</v>
      </c>
      <c r="G337" t="s">
        <v>48</v>
      </c>
      <c r="H337" t="str">
        <f>LEFT(I337, FIND(" sp.", I337) - 1)</f>
        <v>Gryllidae</v>
      </c>
      <c r="I337" t="s">
        <v>50</v>
      </c>
      <c r="J337" t="s">
        <v>2038</v>
      </c>
      <c r="K337" t="s">
        <v>2038</v>
      </c>
      <c r="L337" t="s">
        <v>2040</v>
      </c>
    </row>
    <row r="338" spans="1:12" ht="16" x14ac:dyDescent="0.2">
      <c r="A338" t="s">
        <v>457</v>
      </c>
      <c r="B338">
        <v>396</v>
      </c>
      <c r="C338" s="4">
        <v>95.028000000000006</v>
      </c>
      <c r="D338">
        <v>2.8000000000005801E-2</v>
      </c>
      <c r="E338" t="s">
        <v>46</v>
      </c>
      <c r="F338" t="s">
        <v>124</v>
      </c>
      <c r="G338" t="s">
        <v>125</v>
      </c>
      <c r="H338" t="str">
        <f>LEFT(I338, FIND(" sp.", I338) - 1)</f>
        <v>Gryllidae</v>
      </c>
      <c r="I338" t="s">
        <v>50</v>
      </c>
      <c r="J338" t="s">
        <v>2038</v>
      </c>
      <c r="K338" t="s">
        <v>2038</v>
      </c>
      <c r="L338" t="s">
        <v>2040</v>
      </c>
    </row>
    <row r="339" spans="1:12" ht="16" x14ac:dyDescent="0.2">
      <c r="A339" t="s">
        <v>140</v>
      </c>
      <c r="B339">
        <v>79</v>
      </c>
      <c r="C339" s="4">
        <v>95.028000000000006</v>
      </c>
      <c r="D339">
        <v>2.8000000000005801E-2</v>
      </c>
      <c r="E339" t="s">
        <v>141</v>
      </c>
      <c r="F339" t="s">
        <v>142</v>
      </c>
      <c r="G339" t="s">
        <v>143</v>
      </c>
      <c r="H339" t="s">
        <v>145</v>
      </c>
      <c r="I339" t="s">
        <v>146</v>
      </c>
      <c r="J339" t="s">
        <v>2038</v>
      </c>
      <c r="K339" t="s">
        <v>2038</v>
      </c>
      <c r="L339" t="s">
        <v>2040</v>
      </c>
    </row>
    <row r="340" spans="1:12" ht="16" x14ac:dyDescent="0.2">
      <c r="A340" t="s">
        <v>1468</v>
      </c>
      <c r="B340">
        <v>1805</v>
      </c>
      <c r="C340" s="4">
        <v>95.028000000000006</v>
      </c>
      <c r="D340">
        <v>0</v>
      </c>
      <c r="E340" t="s">
        <v>33</v>
      </c>
      <c r="F340" t="s">
        <v>560</v>
      </c>
      <c r="G340" t="s">
        <v>561</v>
      </c>
      <c r="H340" t="s">
        <v>495</v>
      </c>
      <c r="I340" t="s">
        <v>496</v>
      </c>
      <c r="J340" t="s">
        <v>2038</v>
      </c>
      <c r="K340" t="s">
        <v>2038</v>
      </c>
      <c r="L340" t="s">
        <v>2040</v>
      </c>
    </row>
    <row r="341" spans="1:12" ht="16" x14ac:dyDescent="0.2">
      <c r="A341" t="s">
        <v>559</v>
      </c>
      <c r="B341">
        <v>563</v>
      </c>
      <c r="C341" s="4">
        <v>95.028000000000006</v>
      </c>
      <c r="D341">
        <v>0</v>
      </c>
      <c r="E341" t="s">
        <v>33</v>
      </c>
      <c r="F341" t="s">
        <v>560</v>
      </c>
      <c r="G341" t="s">
        <v>561</v>
      </c>
      <c r="H341" t="s">
        <v>495</v>
      </c>
      <c r="I341" t="s">
        <v>496</v>
      </c>
      <c r="J341" t="s">
        <v>2038</v>
      </c>
      <c r="K341" t="s">
        <v>2038</v>
      </c>
      <c r="L341" t="s">
        <v>2040</v>
      </c>
    </row>
    <row r="342" spans="1:12" ht="16" x14ac:dyDescent="0.2">
      <c r="A342" t="s">
        <v>1940</v>
      </c>
      <c r="B342">
        <v>2400</v>
      </c>
      <c r="C342" s="4">
        <v>95.028000000000006</v>
      </c>
      <c r="D342">
        <v>0</v>
      </c>
      <c r="E342" t="s">
        <v>177</v>
      </c>
      <c r="F342" t="s">
        <v>1406</v>
      </c>
      <c r="G342" t="s">
        <v>1941</v>
      </c>
      <c r="H342" t="s">
        <v>1623</v>
      </c>
      <c r="I342" t="s">
        <v>1942</v>
      </c>
      <c r="J342" t="s">
        <v>2038</v>
      </c>
      <c r="K342" t="s">
        <v>2038</v>
      </c>
      <c r="L342" t="s">
        <v>2040</v>
      </c>
    </row>
    <row r="343" spans="1:12" ht="16" x14ac:dyDescent="0.2">
      <c r="A343" t="s">
        <v>1562</v>
      </c>
      <c r="B343">
        <v>1916</v>
      </c>
      <c r="C343" s="4">
        <v>95.028000000000006</v>
      </c>
      <c r="D343">
        <v>0.61500000000000898</v>
      </c>
      <c r="E343" t="s">
        <v>10</v>
      </c>
      <c r="F343" t="s">
        <v>11</v>
      </c>
      <c r="G343" t="s">
        <v>1563</v>
      </c>
      <c r="H343" t="s">
        <v>1564</v>
      </c>
      <c r="I343" t="s">
        <v>1565</v>
      </c>
      <c r="J343" t="s">
        <v>2038</v>
      </c>
      <c r="K343" t="s">
        <v>2038</v>
      </c>
      <c r="L343" t="s">
        <v>2040</v>
      </c>
    </row>
    <row r="344" spans="1:12" ht="16" x14ac:dyDescent="0.2">
      <c r="A344" t="s">
        <v>254</v>
      </c>
      <c r="B344">
        <v>178</v>
      </c>
      <c r="C344" s="4">
        <v>95.028000000000006</v>
      </c>
      <c r="D344">
        <v>2.8000000000005801E-2</v>
      </c>
      <c r="E344" t="s">
        <v>255</v>
      </c>
      <c r="F344" t="s">
        <v>256</v>
      </c>
      <c r="G344" t="s">
        <v>257</v>
      </c>
      <c r="H344" t="str">
        <f>LEFT(I344, FIND(" sp.", I344) - 1)</f>
        <v>Lepidoptera</v>
      </c>
      <c r="I344" t="s">
        <v>258</v>
      </c>
      <c r="J344" t="s">
        <v>2038</v>
      </c>
      <c r="K344" t="s">
        <v>2038</v>
      </c>
      <c r="L344" t="s">
        <v>2040</v>
      </c>
    </row>
    <row r="345" spans="1:12" ht="16" x14ac:dyDescent="0.2">
      <c r="A345" t="s">
        <v>106</v>
      </c>
      <c r="B345">
        <v>56</v>
      </c>
      <c r="C345" s="4">
        <v>95.028000000000006</v>
      </c>
      <c r="D345">
        <v>0</v>
      </c>
      <c r="E345" t="s">
        <v>10</v>
      </c>
      <c r="F345" t="s">
        <v>10</v>
      </c>
      <c r="G345" t="s">
        <v>107</v>
      </c>
      <c r="H345" t="s">
        <v>108</v>
      </c>
      <c r="I345" t="s">
        <v>109</v>
      </c>
      <c r="J345" t="s">
        <v>2038</v>
      </c>
      <c r="K345" t="s">
        <v>2038</v>
      </c>
      <c r="L345" t="s">
        <v>2040</v>
      </c>
    </row>
    <row r="346" spans="1:12" ht="16" x14ac:dyDescent="0.2">
      <c r="A346" t="s">
        <v>1826</v>
      </c>
      <c r="B346">
        <v>2252</v>
      </c>
      <c r="C346" s="4">
        <v>95.028000000000006</v>
      </c>
      <c r="D346">
        <v>2.8000000000005801E-2</v>
      </c>
      <c r="E346" t="s">
        <v>10</v>
      </c>
      <c r="F346" t="s">
        <v>10</v>
      </c>
      <c r="G346" t="s">
        <v>17</v>
      </c>
      <c r="H346" t="s">
        <v>12</v>
      </c>
      <c r="I346" t="s">
        <v>18</v>
      </c>
      <c r="J346" t="s">
        <v>2038</v>
      </c>
      <c r="K346" t="s">
        <v>2038</v>
      </c>
      <c r="L346" t="s">
        <v>2040</v>
      </c>
    </row>
    <row r="347" spans="1:12" ht="16" x14ac:dyDescent="0.2">
      <c r="A347" t="s">
        <v>1655</v>
      </c>
      <c r="B347">
        <v>2034</v>
      </c>
      <c r="C347" s="4">
        <v>95.028000000000006</v>
      </c>
      <c r="D347">
        <v>0</v>
      </c>
      <c r="E347" t="s">
        <v>10</v>
      </c>
      <c r="F347" t="s">
        <v>10</v>
      </c>
      <c r="G347" t="s">
        <v>214</v>
      </c>
      <c r="H347" t="str">
        <f>LEFT(I347, FIND(" sp.", I347) - 1)</f>
        <v>Dolichopodidae</v>
      </c>
      <c r="I347" t="s">
        <v>213</v>
      </c>
      <c r="J347" t="s">
        <v>2038</v>
      </c>
      <c r="K347" t="s">
        <v>2038</v>
      </c>
      <c r="L347" t="s">
        <v>2040</v>
      </c>
    </row>
    <row r="348" spans="1:12" ht="16" x14ac:dyDescent="0.2">
      <c r="A348" t="s">
        <v>212</v>
      </c>
      <c r="B348">
        <v>151</v>
      </c>
      <c r="C348" s="4">
        <v>95.028000000000006</v>
      </c>
      <c r="D348">
        <v>0.55300000000001104</v>
      </c>
      <c r="E348" t="s">
        <v>10</v>
      </c>
      <c r="F348" t="s">
        <v>10</v>
      </c>
      <c r="G348" t="s">
        <v>213</v>
      </c>
      <c r="H348" t="str">
        <f>LEFT(I348, FIND(" sp.", I348) - 1)</f>
        <v>Dolichopodidae</v>
      </c>
      <c r="I348" t="s">
        <v>214</v>
      </c>
      <c r="J348" t="s">
        <v>2038</v>
      </c>
      <c r="K348" t="s">
        <v>2038</v>
      </c>
      <c r="L348" t="s">
        <v>2040</v>
      </c>
    </row>
    <row r="349" spans="1:12" ht="16" x14ac:dyDescent="0.2">
      <c r="A349" t="s">
        <v>1666</v>
      </c>
      <c r="B349">
        <v>2047</v>
      </c>
      <c r="C349" s="4">
        <v>95.028000000000006</v>
      </c>
      <c r="D349">
        <v>0.55300000000001104</v>
      </c>
      <c r="E349" t="s">
        <v>734</v>
      </c>
      <c r="F349" t="s">
        <v>735</v>
      </c>
      <c r="G349" t="s">
        <v>736</v>
      </c>
      <c r="H349" t="str">
        <f>LEFT(I349, FIND(" sp.", I349) - 1)</f>
        <v>Dolichopodidae</v>
      </c>
      <c r="I349" t="s">
        <v>214</v>
      </c>
      <c r="J349" t="s">
        <v>2038</v>
      </c>
      <c r="K349" t="s">
        <v>2038</v>
      </c>
      <c r="L349" t="s">
        <v>2040</v>
      </c>
    </row>
    <row r="350" spans="1:12" ht="16" x14ac:dyDescent="0.2">
      <c r="A350" t="s">
        <v>1360</v>
      </c>
      <c r="B350">
        <v>1611</v>
      </c>
      <c r="C350" s="4">
        <v>95.028000000000006</v>
      </c>
      <c r="D350">
        <v>2.8000000000005801E-2</v>
      </c>
      <c r="E350" t="s">
        <v>159</v>
      </c>
      <c r="F350" t="s">
        <v>11</v>
      </c>
      <c r="G350" t="s">
        <v>1256</v>
      </c>
      <c r="H350" t="s">
        <v>735</v>
      </c>
      <c r="I350" t="s">
        <v>736</v>
      </c>
      <c r="J350" t="s">
        <v>2038</v>
      </c>
      <c r="K350" t="s">
        <v>2038</v>
      </c>
      <c r="L350" t="s">
        <v>2040</v>
      </c>
    </row>
    <row r="351" spans="1:12" ht="16" x14ac:dyDescent="0.2">
      <c r="A351" t="s">
        <v>2009</v>
      </c>
      <c r="B351">
        <v>2553</v>
      </c>
      <c r="C351" s="4">
        <v>95.028000000000006</v>
      </c>
      <c r="D351">
        <v>0</v>
      </c>
      <c r="E351" t="s">
        <v>1300</v>
      </c>
      <c r="F351" t="s">
        <v>1875</v>
      </c>
      <c r="G351" t="s">
        <v>2010</v>
      </c>
      <c r="H351" t="s">
        <v>735</v>
      </c>
      <c r="I351" t="s">
        <v>736</v>
      </c>
      <c r="J351" t="s">
        <v>2038</v>
      </c>
      <c r="K351" t="s">
        <v>2038</v>
      </c>
      <c r="L351" t="s">
        <v>2040</v>
      </c>
    </row>
    <row r="352" spans="1:12" ht="16" x14ac:dyDescent="0.2">
      <c r="A352" t="s">
        <v>185</v>
      </c>
      <c r="B352">
        <v>128</v>
      </c>
      <c r="C352" s="4">
        <v>95.028000000000006</v>
      </c>
      <c r="D352">
        <v>2.8000000000005801E-2</v>
      </c>
      <c r="E352" t="s">
        <v>10</v>
      </c>
      <c r="F352" t="s">
        <v>10</v>
      </c>
      <c r="G352" t="s">
        <v>10</v>
      </c>
      <c r="H352" t="s">
        <v>43</v>
      </c>
      <c r="I352" t="s">
        <v>44</v>
      </c>
      <c r="J352" t="s">
        <v>2038</v>
      </c>
      <c r="K352" t="s">
        <v>2038</v>
      </c>
      <c r="L352" t="s">
        <v>2040</v>
      </c>
    </row>
    <row r="353" spans="1:12" ht="16" x14ac:dyDescent="0.2">
      <c r="A353" t="s">
        <v>1110</v>
      </c>
      <c r="B353">
        <v>1315</v>
      </c>
      <c r="C353" s="4">
        <v>95.031000000000006</v>
      </c>
      <c r="D353">
        <v>0.42000000000000198</v>
      </c>
      <c r="E353" t="s">
        <v>10</v>
      </c>
      <c r="F353" t="s">
        <v>10</v>
      </c>
      <c r="G353" t="s">
        <v>826</v>
      </c>
      <c r="H353" t="str">
        <f>LEFT(I353, FIND(" sp.", I353) - 1)</f>
        <v>Acariformes</v>
      </c>
      <c r="I353" t="s">
        <v>568</v>
      </c>
      <c r="J353" t="s">
        <v>2038</v>
      </c>
      <c r="K353" t="s">
        <v>2038</v>
      </c>
      <c r="L353" t="s">
        <v>2040</v>
      </c>
    </row>
    <row r="354" spans="1:12" ht="16" x14ac:dyDescent="0.2">
      <c r="A354" t="s">
        <v>1146</v>
      </c>
      <c r="B354">
        <v>1365</v>
      </c>
      <c r="C354" s="4">
        <v>95.055000000000007</v>
      </c>
      <c r="D354">
        <v>95.055000000000007</v>
      </c>
      <c r="H354" t="s">
        <v>815</v>
      </c>
      <c r="I354" t="s">
        <v>816</v>
      </c>
      <c r="J354" t="s">
        <v>2038</v>
      </c>
      <c r="K354" t="s">
        <v>2038</v>
      </c>
      <c r="L354" t="s">
        <v>2040</v>
      </c>
    </row>
    <row r="355" spans="1:12" ht="16" x14ac:dyDescent="0.2">
      <c r="A355" t="s">
        <v>1279</v>
      </c>
      <c r="B355">
        <v>1539</v>
      </c>
      <c r="C355" s="4">
        <v>95.055000000000007</v>
      </c>
      <c r="D355">
        <v>3.7509999999999999</v>
      </c>
      <c r="E355" t="s">
        <v>111</v>
      </c>
      <c r="F355" t="s">
        <v>11</v>
      </c>
      <c r="G355" t="s">
        <v>332</v>
      </c>
      <c r="H355" t="s">
        <v>815</v>
      </c>
      <c r="I355" t="s">
        <v>816</v>
      </c>
      <c r="J355" t="s">
        <v>2038</v>
      </c>
      <c r="K355" t="s">
        <v>2038</v>
      </c>
      <c r="L355" t="s">
        <v>2040</v>
      </c>
    </row>
    <row r="356" spans="1:12" ht="16" x14ac:dyDescent="0.2">
      <c r="A356" t="s">
        <v>1140</v>
      </c>
      <c r="B356">
        <v>1362</v>
      </c>
      <c r="C356" s="4">
        <v>95.081999999999994</v>
      </c>
      <c r="D356">
        <v>2.5449999999999902</v>
      </c>
      <c r="E356" t="s">
        <v>1141</v>
      </c>
      <c r="F356" t="s">
        <v>1142</v>
      </c>
      <c r="G356" t="s">
        <v>1143</v>
      </c>
      <c r="H356" t="s">
        <v>1144</v>
      </c>
      <c r="I356" t="s">
        <v>1145</v>
      </c>
      <c r="J356" t="s">
        <v>2038</v>
      </c>
      <c r="K356" t="s">
        <v>2038</v>
      </c>
      <c r="L356" t="s">
        <v>2040</v>
      </c>
    </row>
    <row r="357" spans="1:12" ht="16" x14ac:dyDescent="0.2">
      <c r="A357" t="s">
        <v>271</v>
      </c>
      <c r="B357">
        <v>189</v>
      </c>
      <c r="C357" s="4">
        <v>95.122</v>
      </c>
      <c r="D357">
        <v>95.122</v>
      </c>
      <c r="H357" t="s">
        <v>272</v>
      </c>
      <c r="I357" t="s">
        <v>273</v>
      </c>
      <c r="J357" t="s">
        <v>2038</v>
      </c>
      <c r="K357" t="s">
        <v>2038</v>
      </c>
      <c r="L357" t="s">
        <v>2040</v>
      </c>
    </row>
    <row r="358" spans="1:12" ht="16" x14ac:dyDescent="0.2">
      <c r="A358" t="s">
        <v>1763</v>
      </c>
      <c r="B358">
        <v>2178</v>
      </c>
      <c r="C358" s="4">
        <v>95.161000000000001</v>
      </c>
      <c r="D358">
        <v>0.56600000000000295</v>
      </c>
      <c r="E358" t="s">
        <v>1764</v>
      </c>
      <c r="F358" t="s">
        <v>1765</v>
      </c>
      <c r="G358" t="s">
        <v>1766</v>
      </c>
      <c r="H358" t="s">
        <v>1767</v>
      </c>
      <c r="I358" t="s">
        <v>1768</v>
      </c>
      <c r="J358" t="s">
        <v>2038</v>
      </c>
      <c r="K358" t="s">
        <v>2038</v>
      </c>
      <c r="L358" t="s">
        <v>2040</v>
      </c>
    </row>
    <row r="359" spans="1:12" ht="16" x14ac:dyDescent="0.2">
      <c r="A359" t="s">
        <v>800</v>
      </c>
      <c r="B359">
        <v>856</v>
      </c>
      <c r="C359" s="4">
        <v>95.21</v>
      </c>
      <c r="D359">
        <v>0</v>
      </c>
      <c r="E359" t="s">
        <v>10</v>
      </c>
      <c r="F359" t="s">
        <v>10</v>
      </c>
      <c r="G359" t="s">
        <v>801</v>
      </c>
      <c r="H359" t="str">
        <f>LEFT(I359, FIND(" sp.", I359) - 1)</f>
        <v>Melyridae</v>
      </c>
      <c r="I359" t="s">
        <v>802</v>
      </c>
      <c r="J359" t="s">
        <v>2038</v>
      </c>
      <c r="K359" t="s">
        <v>2038</v>
      </c>
      <c r="L359" t="s">
        <v>2040</v>
      </c>
    </row>
    <row r="360" spans="1:12" ht="16" x14ac:dyDescent="0.2">
      <c r="A360" t="s">
        <v>323</v>
      </c>
      <c r="B360">
        <v>233</v>
      </c>
      <c r="C360" s="4">
        <v>95.349000000000004</v>
      </c>
      <c r="D360">
        <v>95.349000000000004</v>
      </c>
      <c r="H360" t="str">
        <f>LEFT(I360, FIND(" sp.", I360) - 1)</f>
        <v>Hexanauplia</v>
      </c>
      <c r="I360" t="s">
        <v>324</v>
      </c>
      <c r="J360" t="s">
        <v>2038</v>
      </c>
      <c r="K360" t="s">
        <v>2038</v>
      </c>
      <c r="L360" t="s">
        <v>2040</v>
      </c>
    </row>
    <row r="361" spans="1:12" ht="16" x14ac:dyDescent="0.2">
      <c r="A361" t="s">
        <v>864</v>
      </c>
      <c r="B361">
        <v>940</v>
      </c>
      <c r="C361" s="4">
        <v>95.376000000000005</v>
      </c>
      <c r="D361">
        <v>0.166000000000011</v>
      </c>
      <c r="E361" t="s">
        <v>10</v>
      </c>
      <c r="F361" t="s">
        <v>10</v>
      </c>
      <c r="G361" t="s">
        <v>802</v>
      </c>
      <c r="H361" t="str">
        <f>LEFT(I361, FIND(" sp.", I361) - 1)</f>
        <v>Melyridae</v>
      </c>
      <c r="I361" t="s">
        <v>865</v>
      </c>
      <c r="J361" t="s">
        <v>2038</v>
      </c>
      <c r="K361" t="s">
        <v>2038</v>
      </c>
      <c r="L361" t="s">
        <v>2040</v>
      </c>
    </row>
    <row r="362" spans="1:12" ht="16" x14ac:dyDescent="0.2">
      <c r="A362" t="s">
        <v>920</v>
      </c>
      <c r="B362">
        <v>1023</v>
      </c>
      <c r="C362" s="4">
        <v>95.385000000000005</v>
      </c>
      <c r="D362">
        <v>95.385000000000005</v>
      </c>
      <c r="H362" t="s">
        <v>921</v>
      </c>
      <c r="I362" t="s">
        <v>922</v>
      </c>
      <c r="J362" t="s">
        <v>2038</v>
      </c>
      <c r="K362" t="s">
        <v>2038</v>
      </c>
      <c r="L362" t="s">
        <v>2040</v>
      </c>
    </row>
    <row r="363" spans="1:12" ht="16" x14ac:dyDescent="0.2">
      <c r="A363" t="s">
        <v>1798</v>
      </c>
      <c r="B363">
        <v>2217</v>
      </c>
      <c r="C363" s="4">
        <v>95.385000000000005</v>
      </c>
      <c r="D363">
        <v>95.385000000000005</v>
      </c>
      <c r="H363" t="str">
        <f>LEFT(I363, FIND(" sp.", I363) - 1)</f>
        <v>Ichneumoninae</v>
      </c>
      <c r="I363" t="s">
        <v>1799</v>
      </c>
      <c r="J363" t="s">
        <v>2038</v>
      </c>
      <c r="K363" t="s">
        <v>2038</v>
      </c>
      <c r="L363" t="s">
        <v>2040</v>
      </c>
    </row>
    <row r="364" spans="1:12" ht="16" x14ac:dyDescent="0.2">
      <c r="A364" t="s">
        <v>1987</v>
      </c>
      <c r="B364">
        <v>2519</v>
      </c>
      <c r="C364" s="4">
        <v>95.454999999999998</v>
      </c>
      <c r="D364">
        <v>0.56900000000000295</v>
      </c>
      <c r="E364" t="s">
        <v>33</v>
      </c>
      <c r="F364" t="s">
        <v>1988</v>
      </c>
      <c r="G364" t="s">
        <v>1989</v>
      </c>
      <c r="H364" t="str">
        <f>LEFT(I364, FIND(" sp.", I364) - 1)</f>
        <v>Gelechiidae</v>
      </c>
      <c r="I364" t="s">
        <v>1990</v>
      </c>
      <c r="J364" t="s">
        <v>2038</v>
      </c>
      <c r="K364" t="s">
        <v>2038</v>
      </c>
      <c r="L364" t="s">
        <v>2040</v>
      </c>
    </row>
    <row r="365" spans="1:12" ht="16" x14ac:dyDescent="0.2">
      <c r="A365" t="s">
        <v>435</v>
      </c>
      <c r="B365">
        <v>367</v>
      </c>
      <c r="C365" s="4">
        <v>95.454999999999998</v>
      </c>
      <c r="D365">
        <v>0.426999999999992</v>
      </c>
      <c r="E365" t="s">
        <v>177</v>
      </c>
      <c r="F365" t="s">
        <v>436</v>
      </c>
      <c r="G365" t="s">
        <v>437</v>
      </c>
      <c r="H365" t="s">
        <v>438</v>
      </c>
      <c r="I365" t="s">
        <v>439</v>
      </c>
      <c r="J365" t="s">
        <v>2038</v>
      </c>
      <c r="K365" t="s">
        <v>2038</v>
      </c>
      <c r="L365" t="s">
        <v>2040</v>
      </c>
    </row>
    <row r="366" spans="1:12" ht="16" x14ac:dyDescent="0.2">
      <c r="A366" t="s">
        <v>1585</v>
      </c>
      <c r="B366">
        <v>1954</v>
      </c>
      <c r="C366" s="4">
        <v>95.454999999999998</v>
      </c>
      <c r="D366">
        <v>0.98000000000000398</v>
      </c>
      <c r="E366" t="s">
        <v>734</v>
      </c>
      <c r="F366" t="s">
        <v>735</v>
      </c>
      <c r="G366" t="s">
        <v>736</v>
      </c>
      <c r="H366" t="str">
        <f>LEFT(I366, FIND(" sp.", I366) - 1)</f>
        <v>Dolichopodidae</v>
      </c>
      <c r="I366" t="s">
        <v>214</v>
      </c>
      <c r="J366" t="s">
        <v>2038</v>
      </c>
      <c r="K366" t="s">
        <v>2038</v>
      </c>
      <c r="L366" t="s">
        <v>2040</v>
      </c>
    </row>
    <row r="367" spans="1:12" ht="16" x14ac:dyDescent="0.2">
      <c r="A367" t="s">
        <v>1639</v>
      </c>
      <c r="B367">
        <v>2006</v>
      </c>
      <c r="C367" s="4">
        <v>95.454999999999998</v>
      </c>
      <c r="D367">
        <v>0.98000000000000398</v>
      </c>
      <c r="E367" t="s">
        <v>734</v>
      </c>
      <c r="F367" t="s">
        <v>735</v>
      </c>
      <c r="G367" t="s">
        <v>736</v>
      </c>
      <c r="H367" t="str">
        <f>LEFT(I367, FIND(" sp.", I367) - 1)</f>
        <v>Dolichopodidae</v>
      </c>
      <c r="I367" t="s">
        <v>214</v>
      </c>
      <c r="J367" t="s">
        <v>2038</v>
      </c>
      <c r="K367" t="s">
        <v>2038</v>
      </c>
      <c r="L367" t="s">
        <v>2040</v>
      </c>
    </row>
    <row r="368" spans="1:12" ht="16" x14ac:dyDescent="0.2">
      <c r="A368" t="s">
        <v>2011</v>
      </c>
      <c r="B368">
        <v>2558</v>
      </c>
      <c r="C368" s="4">
        <v>95.48</v>
      </c>
      <c r="D368">
        <v>0</v>
      </c>
      <c r="E368" t="s">
        <v>10</v>
      </c>
      <c r="F368" t="s">
        <v>10</v>
      </c>
      <c r="G368" t="s">
        <v>148</v>
      </c>
      <c r="H368" t="s">
        <v>149</v>
      </c>
      <c r="I368" t="s">
        <v>150</v>
      </c>
      <c r="J368" t="s">
        <v>2038</v>
      </c>
      <c r="K368" t="s">
        <v>2038</v>
      </c>
      <c r="L368" t="s">
        <v>2040</v>
      </c>
    </row>
    <row r="369" spans="1:12" ht="16" x14ac:dyDescent="0.2">
      <c r="A369" t="s">
        <v>833</v>
      </c>
      <c r="B369">
        <v>894</v>
      </c>
      <c r="C369" s="4">
        <v>95.531000000000006</v>
      </c>
      <c r="D369">
        <v>0.55900000000001204</v>
      </c>
      <c r="E369" t="s">
        <v>10</v>
      </c>
      <c r="F369" t="s">
        <v>10</v>
      </c>
      <c r="G369" t="s">
        <v>10</v>
      </c>
      <c r="H369" t="s">
        <v>834</v>
      </c>
      <c r="I369" t="s">
        <v>835</v>
      </c>
      <c r="J369" t="s">
        <v>2038</v>
      </c>
      <c r="K369" t="s">
        <v>2038</v>
      </c>
      <c r="L369" t="s">
        <v>2040</v>
      </c>
    </row>
    <row r="370" spans="1:12" ht="16" x14ac:dyDescent="0.2">
      <c r="A370" t="s">
        <v>1169</v>
      </c>
      <c r="B370">
        <v>1402</v>
      </c>
      <c r="C370" s="4">
        <v>95.555999999999997</v>
      </c>
      <c r="D370">
        <v>0.50099999999999101</v>
      </c>
      <c r="E370" t="s">
        <v>36</v>
      </c>
      <c r="F370" t="s">
        <v>229</v>
      </c>
      <c r="G370" t="s">
        <v>230</v>
      </c>
      <c r="H370" t="s">
        <v>232</v>
      </c>
      <c r="I370" t="s">
        <v>233</v>
      </c>
      <c r="J370" t="s">
        <v>2038</v>
      </c>
      <c r="K370" t="s">
        <v>2038</v>
      </c>
      <c r="L370" t="s">
        <v>2040</v>
      </c>
    </row>
    <row r="371" spans="1:12" ht="16" x14ac:dyDescent="0.2">
      <c r="A371" t="s">
        <v>1969</v>
      </c>
      <c r="B371">
        <v>2490</v>
      </c>
      <c r="C371" s="4">
        <v>95.555999999999997</v>
      </c>
      <c r="D371">
        <v>2.4999999999991501E-2</v>
      </c>
      <c r="J371" t="s">
        <v>2038</v>
      </c>
      <c r="K371" t="s">
        <v>2038</v>
      </c>
      <c r="L371" t="s">
        <v>2040</v>
      </c>
    </row>
    <row r="372" spans="1:12" ht="16" x14ac:dyDescent="0.2">
      <c r="A372" t="s">
        <v>39</v>
      </c>
      <c r="B372">
        <v>18</v>
      </c>
      <c r="C372" s="4">
        <v>95.555999999999997</v>
      </c>
      <c r="D372">
        <v>0</v>
      </c>
      <c r="E372" t="s">
        <v>10</v>
      </c>
      <c r="F372" t="s">
        <v>10</v>
      </c>
      <c r="G372" t="s">
        <v>40</v>
      </c>
      <c r="H372" t="str">
        <f>LEFT(I372, FIND(" sp.", I372) - 1)</f>
        <v>Lepidopsocidae</v>
      </c>
      <c r="I372" t="s">
        <v>41</v>
      </c>
      <c r="J372" t="s">
        <v>2038</v>
      </c>
      <c r="K372" t="s">
        <v>2038</v>
      </c>
      <c r="L372" t="s">
        <v>2040</v>
      </c>
    </row>
    <row r="373" spans="1:12" ht="16" x14ac:dyDescent="0.2">
      <c r="A373" t="s">
        <v>1297</v>
      </c>
      <c r="B373">
        <v>1552</v>
      </c>
      <c r="C373" s="4">
        <v>95.555999999999997</v>
      </c>
      <c r="D373">
        <v>0.52799999999999203</v>
      </c>
      <c r="E373" t="s">
        <v>476</v>
      </c>
      <c r="F373" t="s">
        <v>1298</v>
      </c>
      <c r="G373" t="s">
        <v>1299</v>
      </c>
      <c r="H373" t="str">
        <f>LEFT(I373, FIND(" sp.", I373) - 1)</f>
        <v>Phoridae</v>
      </c>
      <c r="I373" t="s">
        <v>1301</v>
      </c>
      <c r="J373" t="s">
        <v>2038</v>
      </c>
      <c r="K373" t="s">
        <v>2038</v>
      </c>
      <c r="L373" t="s">
        <v>2040</v>
      </c>
    </row>
    <row r="374" spans="1:12" ht="16" x14ac:dyDescent="0.2">
      <c r="A374" t="s">
        <v>1495</v>
      </c>
      <c r="B374">
        <v>1836</v>
      </c>
      <c r="C374" s="4">
        <v>95.555999999999997</v>
      </c>
      <c r="D374">
        <v>95.555999999999997</v>
      </c>
      <c r="H374" t="s">
        <v>445</v>
      </c>
      <c r="I374" t="s">
        <v>446</v>
      </c>
      <c r="J374" t="s">
        <v>2038</v>
      </c>
      <c r="K374" t="s">
        <v>2038</v>
      </c>
      <c r="L374" t="s">
        <v>2040</v>
      </c>
    </row>
    <row r="375" spans="1:12" ht="16" x14ac:dyDescent="0.2">
      <c r="A375" t="s">
        <v>853</v>
      </c>
      <c r="B375">
        <v>927</v>
      </c>
      <c r="C375" s="4">
        <v>95.555999999999997</v>
      </c>
      <c r="D375">
        <v>2.4999999999991501E-2</v>
      </c>
      <c r="E375" t="s">
        <v>10</v>
      </c>
      <c r="F375" t="s">
        <v>157</v>
      </c>
      <c r="G375" t="s">
        <v>158</v>
      </c>
      <c r="H375" t="str">
        <f>LEFT(I375, FIND(" sp.", I375) - 1)</f>
        <v>Dolichopodidae</v>
      </c>
      <c r="I375" t="s">
        <v>160</v>
      </c>
      <c r="J375" t="s">
        <v>2038</v>
      </c>
      <c r="K375" t="s">
        <v>2038</v>
      </c>
      <c r="L375" t="s">
        <v>2040</v>
      </c>
    </row>
    <row r="376" spans="1:12" ht="16" x14ac:dyDescent="0.2">
      <c r="A376" t="s">
        <v>1491</v>
      </c>
      <c r="B376">
        <v>1828</v>
      </c>
      <c r="C376" s="4">
        <v>95.555999999999997</v>
      </c>
      <c r="D376">
        <v>0.52799999999999203</v>
      </c>
      <c r="E376" t="s">
        <v>177</v>
      </c>
      <c r="F376" t="s">
        <v>176</v>
      </c>
      <c r="G376" t="s">
        <v>1492</v>
      </c>
      <c r="H376" t="str">
        <f>LEFT(I376, FIND(" sp.", I376) - 1)</f>
        <v>Tachininae</v>
      </c>
      <c r="I376" t="s">
        <v>1494</v>
      </c>
      <c r="J376" t="s">
        <v>2038</v>
      </c>
      <c r="K376" t="s">
        <v>2038</v>
      </c>
      <c r="L376" t="s">
        <v>2040</v>
      </c>
    </row>
    <row r="377" spans="1:12" ht="16" x14ac:dyDescent="0.2">
      <c r="A377" t="s">
        <v>1356</v>
      </c>
      <c r="B377">
        <v>1609</v>
      </c>
      <c r="C377" s="4">
        <v>95.555999999999997</v>
      </c>
      <c r="D377">
        <v>0.50099999999999101</v>
      </c>
      <c r="E377" t="s">
        <v>431</v>
      </c>
      <c r="F377" t="s">
        <v>1357</v>
      </c>
      <c r="G377" t="s">
        <v>1358</v>
      </c>
      <c r="H377" t="s">
        <v>226</v>
      </c>
      <c r="I377" t="s">
        <v>1359</v>
      </c>
      <c r="J377" t="s">
        <v>2037</v>
      </c>
      <c r="K377" t="s">
        <v>2037</v>
      </c>
      <c r="L377" t="s">
        <v>10</v>
      </c>
    </row>
    <row r="378" spans="1:12" ht="16" x14ac:dyDescent="0.2">
      <c r="A378" t="s">
        <v>2008</v>
      </c>
      <c r="B378">
        <v>2552</v>
      </c>
      <c r="C378" s="4">
        <v>95.58</v>
      </c>
      <c r="D378">
        <v>0.55199999999999205</v>
      </c>
      <c r="E378" t="s">
        <v>10</v>
      </c>
      <c r="F378" t="s">
        <v>10</v>
      </c>
      <c r="G378" t="s">
        <v>10</v>
      </c>
      <c r="H378" t="s">
        <v>1845</v>
      </c>
      <c r="I378" t="s">
        <v>1846</v>
      </c>
      <c r="J378" t="s">
        <v>2038</v>
      </c>
      <c r="K378" t="s">
        <v>2038</v>
      </c>
      <c r="L378" t="s">
        <v>2040</v>
      </c>
    </row>
    <row r="379" spans="1:12" ht="16" x14ac:dyDescent="0.2">
      <c r="A379" t="s">
        <v>1428</v>
      </c>
      <c r="B379">
        <v>1725</v>
      </c>
      <c r="C379" s="4">
        <v>95.58</v>
      </c>
      <c r="D379">
        <v>0</v>
      </c>
      <c r="E379" t="s">
        <v>10</v>
      </c>
      <c r="F379" t="s">
        <v>10</v>
      </c>
      <c r="G379" t="s">
        <v>674</v>
      </c>
      <c r="H379" t="s">
        <v>676</v>
      </c>
      <c r="I379" t="s">
        <v>677</v>
      </c>
      <c r="J379" t="s">
        <v>2038</v>
      </c>
      <c r="K379" t="s">
        <v>2038</v>
      </c>
      <c r="L379" t="s">
        <v>2040</v>
      </c>
    </row>
    <row r="380" spans="1:12" ht="16" x14ac:dyDescent="0.2">
      <c r="A380" t="s">
        <v>1861</v>
      </c>
      <c r="B380">
        <v>2301</v>
      </c>
      <c r="C380" s="4">
        <v>95.58</v>
      </c>
      <c r="D380">
        <v>4.8999999999992397E-2</v>
      </c>
      <c r="E380" t="s">
        <v>10</v>
      </c>
      <c r="F380" t="s">
        <v>10</v>
      </c>
      <c r="G380" t="s">
        <v>1862</v>
      </c>
      <c r="H380" t="s">
        <v>1863</v>
      </c>
      <c r="I380" t="s">
        <v>1864</v>
      </c>
      <c r="J380" t="s">
        <v>2038</v>
      </c>
      <c r="K380" t="s">
        <v>2038</v>
      </c>
      <c r="L380" t="s">
        <v>2040</v>
      </c>
    </row>
    <row r="381" spans="1:12" ht="16" x14ac:dyDescent="0.2">
      <c r="A381" t="s">
        <v>1984</v>
      </c>
      <c r="B381">
        <v>2517</v>
      </c>
      <c r="C381" s="4">
        <v>95.58</v>
      </c>
      <c r="D381">
        <v>0.55199999999999205</v>
      </c>
      <c r="E381" t="s">
        <v>10</v>
      </c>
      <c r="F381" t="s">
        <v>10</v>
      </c>
      <c r="G381" t="s">
        <v>10</v>
      </c>
      <c r="H381" t="s">
        <v>1985</v>
      </c>
      <c r="I381" t="s">
        <v>1986</v>
      </c>
      <c r="J381" t="s">
        <v>2038</v>
      </c>
      <c r="K381" t="s">
        <v>2038</v>
      </c>
      <c r="L381" t="s">
        <v>2040</v>
      </c>
    </row>
    <row r="382" spans="1:12" ht="16" x14ac:dyDescent="0.2">
      <c r="A382" t="s">
        <v>1496</v>
      </c>
      <c r="B382">
        <v>1837</v>
      </c>
      <c r="C382" s="4">
        <v>95.58</v>
      </c>
      <c r="D382">
        <v>2.4000000000000899E-2</v>
      </c>
      <c r="E382" t="s">
        <v>255</v>
      </c>
      <c r="F382" t="s">
        <v>344</v>
      </c>
      <c r="G382" t="s">
        <v>345</v>
      </c>
      <c r="H382" t="s">
        <v>346</v>
      </c>
      <c r="I382" t="s">
        <v>347</v>
      </c>
      <c r="J382" t="s">
        <v>2038</v>
      </c>
      <c r="K382" t="s">
        <v>2038</v>
      </c>
      <c r="L382" t="s">
        <v>2040</v>
      </c>
    </row>
    <row r="383" spans="1:12" ht="16" x14ac:dyDescent="0.2">
      <c r="A383" t="s">
        <v>1084</v>
      </c>
      <c r="B383">
        <v>1283</v>
      </c>
      <c r="C383" s="4">
        <v>95.58</v>
      </c>
      <c r="D383">
        <v>0</v>
      </c>
      <c r="E383" t="s">
        <v>10</v>
      </c>
      <c r="F383" t="s">
        <v>10</v>
      </c>
      <c r="G383" t="s">
        <v>1085</v>
      </c>
      <c r="H383" t="s">
        <v>1086</v>
      </c>
      <c r="I383" t="s">
        <v>1087</v>
      </c>
      <c r="J383" t="s">
        <v>2038</v>
      </c>
      <c r="K383" t="s">
        <v>2038</v>
      </c>
      <c r="L383" t="s">
        <v>2040</v>
      </c>
    </row>
    <row r="384" spans="1:12" ht="16" x14ac:dyDescent="0.2">
      <c r="A384" t="s">
        <v>1755</v>
      </c>
      <c r="B384">
        <v>2172</v>
      </c>
      <c r="C384" s="4">
        <v>95.58</v>
      </c>
      <c r="D384">
        <v>0.55199999999999205</v>
      </c>
      <c r="E384" t="s">
        <v>10</v>
      </c>
      <c r="F384" t="s">
        <v>10</v>
      </c>
      <c r="G384" t="s">
        <v>10</v>
      </c>
      <c r="H384" t="s">
        <v>1756</v>
      </c>
      <c r="I384" t="s">
        <v>1757</v>
      </c>
      <c r="J384" t="s">
        <v>2038</v>
      </c>
      <c r="K384" t="s">
        <v>2038</v>
      </c>
      <c r="L384" t="s">
        <v>2040</v>
      </c>
    </row>
    <row r="385" spans="1:12" ht="16" x14ac:dyDescent="0.2">
      <c r="A385" t="s">
        <v>1950</v>
      </c>
      <c r="B385">
        <v>2414</v>
      </c>
      <c r="C385" s="4">
        <v>95.58</v>
      </c>
      <c r="D385">
        <v>2.4000000000000899E-2</v>
      </c>
      <c r="E385" t="s">
        <v>476</v>
      </c>
      <c r="F385" t="s">
        <v>1298</v>
      </c>
      <c r="G385" t="s">
        <v>1906</v>
      </c>
      <c r="H385" t="s">
        <v>1406</v>
      </c>
      <c r="I385" t="s">
        <v>1951</v>
      </c>
      <c r="J385" t="s">
        <v>2038</v>
      </c>
      <c r="K385" t="s">
        <v>2038</v>
      </c>
      <c r="L385" t="s">
        <v>2040</v>
      </c>
    </row>
    <row r="386" spans="1:12" ht="16" x14ac:dyDescent="0.2">
      <c r="A386" t="s">
        <v>1351</v>
      </c>
      <c r="B386">
        <v>1606</v>
      </c>
      <c r="C386" s="4">
        <v>95.58</v>
      </c>
      <c r="D386">
        <v>0.55199999999999205</v>
      </c>
      <c r="E386" t="s">
        <v>10</v>
      </c>
      <c r="F386" t="s">
        <v>10</v>
      </c>
      <c r="G386" t="s">
        <v>10</v>
      </c>
      <c r="H386" t="s">
        <v>1352</v>
      </c>
      <c r="I386" t="s">
        <v>1353</v>
      </c>
      <c r="J386" t="s">
        <v>2038</v>
      </c>
      <c r="K386" t="s">
        <v>2038</v>
      </c>
      <c r="L386" t="s">
        <v>2040</v>
      </c>
    </row>
    <row r="387" spans="1:12" ht="16" x14ac:dyDescent="0.2">
      <c r="A387" t="s">
        <v>1021</v>
      </c>
      <c r="B387">
        <v>1201</v>
      </c>
      <c r="C387" s="4">
        <v>95.58</v>
      </c>
      <c r="D387">
        <v>0.55199999999999205</v>
      </c>
      <c r="E387" t="s">
        <v>10</v>
      </c>
      <c r="F387" t="s">
        <v>11</v>
      </c>
      <c r="G387" t="s">
        <v>1022</v>
      </c>
      <c r="H387" t="s">
        <v>154</v>
      </c>
      <c r="I387" t="s">
        <v>155</v>
      </c>
      <c r="J387" t="s">
        <v>2038</v>
      </c>
      <c r="K387" t="s">
        <v>2038</v>
      </c>
      <c r="L387" t="s">
        <v>2040</v>
      </c>
    </row>
    <row r="388" spans="1:12" ht="16" x14ac:dyDescent="0.2">
      <c r="A388" t="s">
        <v>156</v>
      </c>
      <c r="B388">
        <v>89</v>
      </c>
      <c r="C388" s="4">
        <v>95.58</v>
      </c>
      <c r="D388">
        <v>2.4000000000000899E-2</v>
      </c>
      <c r="E388" t="s">
        <v>10</v>
      </c>
      <c r="F388" t="s">
        <v>157</v>
      </c>
      <c r="G388" t="s">
        <v>158</v>
      </c>
      <c r="H388" t="str">
        <f>LEFT(I388, FIND(" sp.", I388) - 1)</f>
        <v>Dolichopodidae</v>
      </c>
      <c r="I388" t="s">
        <v>160</v>
      </c>
      <c r="J388" t="s">
        <v>2038</v>
      </c>
      <c r="K388" t="s">
        <v>2038</v>
      </c>
      <c r="L388" t="s">
        <v>2040</v>
      </c>
    </row>
    <row r="389" spans="1:12" ht="16" x14ac:dyDescent="0.2">
      <c r="A389" t="s">
        <v>1542</v>
      </c>
      <c r="B389">
        <v>1891</v>
      </c>
      <c r="C389" s="4">
        <v>95.58</v>
      </c>
      <c r="D389">
        <v>0.55199999999999205</v>
      </c>
      <c r="E389" t="s">
        <v>734</v>
      </c>
      <c r="F389" t="s">
        <v>735</v>
      </c>
      <c r="G389" t="s">
        <v>736</v>
      </c>
      <c r="H389" t="str">
        <f>LEFT(I389, FIND(" sp.", I389) - 1)</f>
        <v>Dolichopodidae</v>
      </c>
      <c r="I389" t="s">
        <v>214</v>
      </c>
      <c r="J389" t="s">
        <v>2038</v>
      </c>
      <c r="K389" t="s">
        <v>2038</v>
      </c>
      <c r="L389" t="s">
        <v>2040</v>
      </c>
    </row>
    <row r="390" spans="1:12" ht="16" x14ac:dyDescent="0.2">
      <c r="A390" t="s">
        <v>1849</v>
      </c>
      <c r="B390">
        <v>2270</v>
      </c>
      <c r="C390" s="4">
        <v>95.58</v>
      </c>
      <c r="D390">
        <v>0.55199999999999205</v>
      </c>
      <c r="E390" t="s">
        <v>734</v>
      </c>
      <c r="F390" t="s">
        <v>735</v>
      </c>
      <c r="G390" t="s">
        <v>736</v>
      </c>
      <c r="H390" t="str">
        <f>LEFT(I390, FIND(" sp.", I390) - 1)</f>
        <v>Dolichopodidae</v>
      </c>
      <c r="I390" t="s">
        <v>214</v>
      </c>
      <c r="J390" t="s">
        <v>2038</v>
      </c>
      <c r="K390" t="s">
        <v>2038</v>
      </c>
      <c r="L390" t="s">
        <v>2040</v>
      </c>
    </row>
    <row r="391" spans="1:12" ht="16" x14ac:dyDescent="0.2">
      <c r="A391" t="s">
        <v>1999</v>
      </c>
      <c r="B391">
        <v>2526</v>
      </c>
      <c r="C391" s="4">
        <v>95.58</v>
      </c>
      <c r="D391">
        <v>0</v>
      </c>
      <c r="E391" t="s">
        <v>734</v>
      </c>
      <c r="F391" t="s">
        <v>735</v>
      </c>
      <c r="G391" t="s">
        <v>736</v>
      </c>
      <c r="H391" t="str">
        <f>LEFT(I391, FIND(" sp.", I391) - 1)</f>
        <v>Dolichopodidae</v>
      </c>
      <c r="I391" t="s">
        <v>214</v>
      </c>
      <c r="J391" t="s">
        <v>2038</v>
      </c>
      <c r="K391" t="s">
        <v>2038</v>
      </c>
      <c r="L391" t="s">
        <v>2040</v>
      </c>
    </row>
    <row r="392" spans="1:12" ht="16" x14ac:dyDescent="0.2">
      <c r="A392" t="s">
        <v>852</v>
      </c>
      <c r="B392">
        <v>925</v>
      </c>
      <c r="C392" s="4">
        <v>95.58</v>
      </c>
      <c r="D392">
        <v>0.55199999999999205</v>
      </c>
      <c r="E392" t="s">
        <v>10</v>
      </c>
      <c r="F392" t="s">
        <v>10</v>
      </c>
      <c r="G392" t="s">
        <v>213</v>
      </c>
      <c r="H392" t="str">
        <f>LEFT(I392, FIND(" sp.", I392) - 1)</f>
        <v>Dolichopodidae</v>
      </c>
      <c r="I392" t="s">
        <v>214</v>
      </c>
      <c r="J392" t="s">
        <v>2038</v>
      </c>
      <c r="K392" t="s">
        <v>2038</v>
      </c>
      <c r="L392" t="s">
        <v>2040</v>
      </c>
    </row>
    <row r="393" spans="1:12" ht="16" x14ac:dyDescent="0.2">
      <c r="A393" t="s">
        <v>944</v>
      </c>
      <c r="B393">
        <v>1054</v>
      </c>
      <c r="C393" s="4">
        <v>95.58</v>
      </c>
      <c r="D393">
        <v>2.4000000000000899E-2</v>
      </c>
      <c r="E393" t="s">
        <v>10</v>
      </c>
      <c r="F393" t="s">
        <v>10</v>
      </c>
      <c r="G393" t="s">
        <v>10</v>
      </c>
      <c r="H393" t="s">
        <v>735</v>
      </c>
      <c r="I393" t="s">
        <v>736</v>
      </c>
      <c r="J393" t="s">
        <v>2038</v>
      </c>
      <c r="K393" t="s">
        <v>2038</v>
      </c>
      <c r="L393" t="s">
        <v>2040</v>
      </c>
    </row>
    <row r="394" spans="1:12" ht="16" x14ac:dyDescent="0.2">
      <c r="A394" t="s">
        <v>69</v>
      </c>
      <c r="B394">
        <v>33</v>
      </c>
      <c r="C394" s="4">
        <v>95.587999999999994</v>
      </c>
      <c r="D394">
        <v>2.9949999999999899</v>
      </c>
      <c r="E394" t="s">
        <v>10</v>
      </c>
      <c r="F394" t="s">
        <v>10</v>
      </c>
      <c r="G394" t="s">
        <v>70</v>
      </c>
      <c r="H394" t="s">
        <v>71</v>
      </c>
      <c r="I394" t="s">
        <v>72</v>
      </c>
      <c r="J394" t="s">
        <v>2038</v>
      </c>
      <c r="K394" t="s">
        <v>2038</v>
      </c>
      <c r="L394" t="s">
        <v>2040</v>
      </c>
    </row>
    <row r="395" spans="1:12" ht="16" x14ac:dyDescent="0.2">
      <c r="A395" t="s">
        <v>1824</v>
      </c>
      <c r="B395">
        <v>2250</v>
      </c>
      <c r="C395" s="4">
        <v>95.603999999999999</v>
      </c>
      <c r="D395">
        <v>1.3180000000000001</v>
      </c>
      <c r="E395" t="s">
        <v>11</v>
      </c>
      <c r="F395" t="s">
        <v>11</v>
      </c>
      <c r="G395" t="s">
        <v>1825</v>
      </c>
      <c r="H395" t="s">
        <v>815</v>
      </c>
      <c r="I395" t="s">
        <v>816</v>
      </c>
      <c r="J395" t="s">
        <v>2038</v>
      </c>
      <c r="K395" t="s">
        <v>2038</v>
      </c>
      <c r="L395" t="s">
        <v>2040</v>
      </c>
    </row>
    <row r="396" spans="1:12" ht="16" x14ac:dyDescent="0.2">
      <c r="A396" t="s">
        <v>725</v>
      </c>
      <c r="B396">
        <v>739</v>
      </c>
      <c r="C396" s="4">
        <v>95.652000000000001</v>
      </c>
      <c r="D396">
        <v>2.9150000000000098</v>
      </c>
      <c r="E396" t="s">
        <v>10</v>
      </c>
      <c r="F396" t="s">
        <v>726</v>
      </c>
      <c r="G396" t="s">
        <v>727</v>
      </c>
      <c r="H396" t="s">
        <v>368</v>
      </c>
      <c r="I396" t="s">
        <v>367</v>
      </c>
      <c r="J396" t="s">
        <v>2038</v>
      </c>
      <c r="K396" t="s">
        <v>2038</v>
      </c>
      <c r="L396" t="s">
        <v>2040</v>
      </c>
    </row>
    <row r="397" spans="1:12" ht="16" x14ac:dyDescent="0.2">
      <c r="A397" t="s">
        <v>1185</v>
      </c>
      <c r="B397">
        <v>1422</v>
      </c>
      <c r="C397" s="4">
        <v>95.652000000000001</v>
      </c>
      <c r="D397">
        <v>2.1459999999999999</v>
      </c>
      <c r="E397" t="s">
        <v>10</v>
      </c>
      <c r="F397" t="s">
        <v>10</v>
      </c>
      <c r="G397" t="s">
        <v>10</v>
      </c>
      <c r="H397" t="s">
        <v>1186</v>
      </c>
      <c r="I397" t="s">
        <v>1187</v>
      </c>
      <c r="J397" t="s">
        <v>2038</v>
      </c>
      <c r="K397" t="s">
        <v>2038</v>
      </c>
      <c r="L397" t="s">
        <v>2040</v>
      </c>
    </row>
    <row r="398" spans="1:12" ht="16" x14ac:dyDescent="0.2">
      <c r="A398" t="s">
        <v>2013</v>
      </c>
      <c r="B398">
        <v>2565</v>
      </c>
      <c r="C398" s="4">
        <v>95.713999999999999</v>
      </c>
      <c r="D398">
        <v>0.84199999999999897</v>
      </c>
      <c r="E398" t="s">
        <v>734</v>
      </c>
      <c r="F398" t="s">
        <v>2014</v>
      </c>
      <c r="G398" t="s">
        <v>2015</v>
      </c>
      <c r="H398" t="s">
        <v>2016</v>
      </c>
      <c r="I398" t="s">
        <v>2017</v>
      </c>
      <c r="J398" t="s">
        <v>2038</v>
      </c>
    </row>
    <row r="399" spans="1:12" ht="16" x14ac:dyDescent="0.2">
      <c r="A399" t="s">
        <v>1055</v>
      </c>
      <c r="B399">
        <v>1255</v>
      </c>
      <c r="C399" s="4">
        <v>95.808000000000007</v>
      </c>
      <c r="D399">
        <v>0</v>
      </c>
      <c r="E399" t="s">
        <v>10</v>
      </c>
      <c r="F399" t="s">
        <v>10</v>
      </c>
      <c r="G399" t="s">
        <v>801</v>
      </c>
      <c r="H399" t="str">
        <f>LEFT(I399, FIND(" sp.", I399) - 1)</f>
        <v>Melyridae</v>
      </c>
      <c r="I399" t="s">
        <v>802</v>
      </c>
      <c r="J399" t="s">
        <v>2038</v>
      </c>
      <c r="K399" t="s">
        <v>2038</v>
      </c>
      <c r="L399" t="s">
        <v>2040</v>
      </c>
    </row>
    <row r="400" spans="1:12" ht="16" x14ac:dyDescent="0.2">
      <c r="A400" t="s">
        <v>918</v>
      </c>
      <c r="B400">
        <v>1022</v>
      </c>
      <c r="C400" s="4">
        <v>95.832999999999998</v>
      </c>
      <c r="D400">
        <v>95.832999999999998</v>
      </c>
      <c r="H400" t="str">
        <f>LEFT(I400, FIND(" sp.", I400) - 1)</f>
        <v>Diapriidae</v>
      </c>
      <c r="I400" t="s">
        <v>919</v>
      </c>
      <c r="J400" t="s">
        <v>2038</v>
      </c>
      <c r="K400" t="s">
        <v>2038</v>
      </c>
      <c r="L400" t="s">
        <v>2040</v>
      </c>
    </row>
    <row r="401" spans="1:12" ht="16" x14ac:dyDescent="0.2">
      <c r="A401" t="s">
        <v>1384</v>
      </c>
      <c r="B401">
        <v>1642</v>
      </c>
      <c r="C401" s="4">
        <v>95.832999999999998</v>
      </c>
      <c r="D401">
        <v>95.832999999999998</v>
      </c>
      <c r="H401" t="s">
        <v>11</v>
      </c>
      <c r="I401" t="s">
        <v>919</v>
      </c>
      <c r="J401" t="s">
        <v>2038</v>
      </c>
    </row>
    <row r="402" spans="1:12" ht="16" x14ac:dyDescent="0.2">
      <c r="A402" t="s">
        <v>1868</v>
      </c>
      <c r="B402">
        <v>2305</v>
      </c>
      <c r="C402" s="4">
        <v>95.906000000000006</v>
      </c>
      <c r="D402">
        <v>0.53000000000000103</v>
      </c>
      <c r="E402" t="s">
        <v>10</v>
      </c>
      <c r="F402" t="s">
        <v>10</v>
      </c>
      <c r="G402" t="s">
        <v>1869</v>
      </c>
      <c r="H402" t="s">
        <v>490</v>
      </c>
      <c r="I402" t="s">
        <v>1818</v>
      </c>
      <c r="J402" t="s">
        <v>2038</v>
      </c>
      <c r="K402" t="s">
        <v>2038</v>
      </c>
      <c r="L402" t="s">
        <v>2040</v>
      </c>
    </row>
    <row r="403" spans="1:12" ht="16" x14ac:dyDescent="0.2">
      <c r="A403" t="s">
        <v>1437</v>
      </c>
      <c r="B403">
        <v>1746</v>
      </c>
      <c r="C403" s="4">
        <v>95.93</v>
      </c>
      <c r="D403">
        <v>0.93000000000000704</v>
      </c>
      <c r="E403" t="s">
        <v>10</v>
      </c>
      <c r="F403" t="s">
        <v>495</v>
      </c>
      <c r="G403" t="s">
        <v>934</v>
      </c>
      <c r="H403" t="s">
        <v>935</v>
      </c>
      <c r="I403" t="s">
        <v>936</v>
      </c>
      <c r="J403" t="s">
        <v>2038</v>
      </c>
      <c r="K403" t="s">
        <v>2038</v>
      </c>
      <c r="L403" t="s">
        <v>2040</v>
      </c>
    </row>
    <row r="404" spans="1:12" ht="16" x14ac:dyDescent="0.2">
      <c r="A404" t="s">
        <v>1211</v>
      </c>
      <c r="B404">
        <v>1451</v>
      </c>
      <c r="C404" s="4">
        <v>96</v>
      </c>
      <c r="D404">
        <v>96</v>
      </c>
      <c r="H404" t="s">
        <v>1012</v>
      </c>
      <c r="I404" t="s">
        <v>1212</v>
      </c>
      <c r="J404" t="s">
        <v>2038</v>
      </c>
      <c r="K404" t="s">
        <v>2038</v>
      </c>
    </row>
    <row r="405" spans="1:12" ht="16" x14ac:dyDescent="0.2">
      <c r="A405" t="s">
        <v>1148</v>
      </c>
      <c r="B405">
        <v>1378</v>
      </c>
      <c r="C405" s="4">
        <v>96.022999999999996</v>
      </c>
      <c r="D405">
        <v>0.99499999999999</v>
      </c>
      <c r="E405" t="s">
        <v>734</v>
      </c>
      <c r="F405" t="s">
        <v>735</v>
      </c>
      <c r="G405" t="s">
        <v>736</v>
      </c>
      <c r="H405" t="str">
        <f>LEFT(I405, FIND(" sp.", I405) - 1)</f>
        <v>Dolichopodidae</v>
      </c>
      <c r="I405" t="s">
        <v>214</v>
      </c>
      <c r="J405" t="s">
        <v>2038</v>
      </c>
      <c r="K405" t="s">
        <v>2038</v>
      </c>
    </row>
    <row r="406" spans="1:12" ht="16" x14ac:dyDescent="0.2">
      <c r="A406" t="s">
        <v>1817</v>
      </c>
      <c r="B406">
        <v>2237</v>
      </c>
      <c r="C406" s="4">
        <v>96.066999999999993</v>
      </c>
      <c r="D406">
        <v>0.16099999999998699</v>
      </c>
      <c r="E406" t="s">
        <v>10</v>
      </c>
      <c r="F406" t="s">
        <v>10</v>
      </c>
      <c r="G406" t="s">
        <v>10</v>
      </c>
      <c r="H406" t="s">
        <v>490</v>
      </c>
      <c r="I406" t="s">
        <v>1818</v>
      </c>
      <c r="J406" t="s">
        <v>2037</v>
      </c>
      <c r="K406" t="s">
        <v>2037</v>
      </c>
      <c r="L406" t="s">
        <v>10</v>
      </c>
    </row>
    <row r="407" spans="1:12" ht="16" x14ac:dyDescent="0.2">
      <c r="A407" t="s">
        <v>2026</v>
      </c>
      <c r="B407">
        <v>2581</v>
      </c>
      <c r="C407" s="4">
        <v>96.103999999999999</v>
      </c>
      <c r="D407">
        <v>1.2989999999999899</v>
      </c>
      <c r="E407" t="s">
        <v>10</v>
      </c>
      <c r="F407" t="s">
        <v>10</v>
      </c>
      <c r="G407" t="s">
        <v>2027</v>
      </c>
      <c r="H407" t="s">
        <v>2028</v>
      </c>
      <c r="I407" t="s">
        <v>2029</v>
      </c>
      <c r="J407" t="s">
        <v>2038</v>
      </c>
      <c r="K407" t="s">
        <v>2038</v>
      </c>
    </row>
    <row r="408" spans="1:12" ht="16" x14ac:dyDescent="0.2">
      <c r="A408" t="s">
        <v>228</v>
      </c>
      <c r="B408">
        <v>163</v>
      </c>
      <c r="C408" s="4">
        <v>96.111000000000004</v>
      </c>
      <c r="D408">
        <v>0.507000000000005</v>
      </c>
      <c r="E408" t="s">
        <v>36</v>
      </c>
      <c r="F408" t="s">
        <v>229</v>
      </c>
      <c r="G408" t="s">
        <v>230</v>
      </c>
      <c r="H408" t="s">
        <v>232</v>
      </c>
      <c r="I408" t="s">
        <v>233</v>
      </c>
      <c r="J408" t="s">
        <v>2038</v>
      </c>
      <c r="K408" t="s">
        <v>2038</v>
      </c>
      <c r="L408" t="s">
        <v>2040</v>
      </c>
    </row>
    <row r="409" spans="1:12" ht="16" x14ac:dyDescent="0.2">
      <c r="A409" t="s">
        <v>384</v>
      </c>
      <c r="B409">
        <v>301</v>
      </c>
      <c r="C409" s="4">
        <v>96.111000000000004</v>
      </c>
      <c r="D409">
        <v>5</v>
      </c>
      <c r="E409" t="s">
        <v>118</v>
      </c>
      <c r="F409" t="s">
        <v>10</v>
      </c>
      <c r="J409" t="s">
        <v>2038</v>
      </c>
      <c r="K409" t="s">
        <v>2038</v>
      </c>
      <c r="L409" t="s">
        <v>2040</v>
      </c>
    </row>
    <row r="410" spans="1:12" ht="16" x14ac:dyDescent="0.2">
      <c r="A410" t="s">
        <v>517</v>
      </c>
      <c r="B410">
        <v>500</v>
      </c>
      <c r="C410" s="4">
        <v>96.111000000000004</v>
      </c>
      <c r="D410">
        <v>2.7780000000000098</v>
      </c>
      <c r="E410" t="s">
        <v>118</v>
      </c>
      <c r="F410" t="s">
        <v>10</v>
      </c>
      <c r="J410" t="s">
        <v>2038</v>
      </c>
      <c r="K410" t="s">
        <v>2038</v>
      </c>
      <c r="L410" t="s">
        <v>2040</v>
      </c>
    </row>
    <row r="411" spans="1:12" ht="16" x14ac:dyDescent="0.2">
      <c r="A411" t="s">
        <v>643</v>
      </c>
      <c r="B411">
        <v>646</v>
      </c>
      <c r="C411" s="4">
        <v>96.111000000000004</v>
      </c>
      <c r="D411">
        <v>0</v>
      </c>
      <c r="E411" t="s">
        <v>10</v>
      </c>
      <c r="F411" t="s">
        <v>11</v>
      </c>
      <c r="G411" t="s">
        <v>644</v>
      </c>
      <c r="H411" t="s">
        <v>645</v>
      </c>
      <c r="I411" t="s">
        <v>646</v>
      </c>
      <c r="J411" t="s">
        <v>2038</v>
      </c>
      <c r="K411" t="s">
        <v>2038</v>
      </c>
      <c r="L411" t="s">
        <v>10</v>
      </c>
    </row>
    <row r="412" spans="1:12" ht="16" x14ac:dyDescent="0.2">
      <c r="A412" t="s">
        <v>1129</v>
      </c>
      <c r="B412">
        <v>1341</v>
      </c>
      <c r="C412" s="4">
        <v>96.111000000000004</v>
      </c>
      <c r="D412">
        <v>0</v>
      </c>
      <c r="E412" t="s">
        <v>255</v>
      </c>
      <c r="F412" t="s">
        <v>10</v>
      </c>
      <c r="G412" t="s">
        <v>535</v>
      </c>
      <c r="H412" t="str">
        <f>LEFT(I412, FIND(" sp.", I412) - 1)</f>
        <v>Lepidoptera</v>
      </c>
      <c r="I412" t="s">
        <v>506</v>
      </c>
      <c r="J412" t="s">
        <v>2038</v>
      </c>
      <c r="K412" t="s">
        <v>2038</v>
      </c>
      <c r="L412" t="s">
        <v>10</v>
      </c>
    </row>
    <row r="413" spans="1:12" ht="16" x14ac:dyDescent="0.2">
      <c r="A413" t="s">
        <v>1538</v>
      </c>
      <c r="B413">
        <v>1889</v>
      </c>
      <c r="C413" s="4">
        <v>96.111000000000004</v>
      </c>
      <c r="D413">
        <v>0</v>
      </c>
      <c r="E413" t="s">
        <v>10</v>
      </c>
      <c r="F413" t="s">
        <v>10</v>
      </c>
      <c r="G413" t="s">
        <v>1539</v>
      </c>
      <c r="H413" t="s">
        <v>964</v>
      </c>
      <c r="I413" t="s">
        <v>1540</v>
      </c>
      <c r="J413" t="s">
        <v>2038</v>
      </c>
      <c r="K413" t="s">
        <v>2038</v>
      </c>
      <c r="L413" t="s">
        <v>10</v>
      </c>
    </row>
    <row r="414" spans="1:12" ht="16" x14ac:dyDescent="0.2">
      <c r="A414" t="s">
        <v>2004</v>
      </c>
      <c r="B414">
        <v>2551</v>
      </c>
      <c r="C414" s="4">
        <v>96.111000000000004</v>
      </c>
      <c r="D414">
        <v>0.53100000000000602</v>
      </c>
      <c r="E414" t="s">
        <v>10</v>
      </c>
      <c r="F414" t="s">
        <v>2005</v>
      </c>
      <c r="G414" t="s">
        <v>2006</v>
      </c>
      <c r="H414" t="s">
        <v>1652</v>
      </c>
      <c r="I414" t="s">
        <v>2007</v>
      </c>
      <c r="J414" t="s">
        <v>2038</v>
      </c>
      <c r="K414" t="s">
        <v>2038</v>
      </c>
    </row>
    <row r="415" spans="1:12" ht="16" x14ac:dyDescent="0.2">
      <c r="A415" t="s">
        <v>1644</v>
      </c>
      <c r="B415">
        <v>2012</v>
      </c>
      <c r="C415" s="4">
        <v>96.111000000000004</v>
      </c>
      <c r="D415">
        <v>2.2000000000005598E-2</v>
      </c>
      <c r="E415" t="s">
        <v>10</v>
      </c>
      <c r="F415" t="s">
        <v>10</v>
      </c>
      <c r="G415" t="s">
        <v>1645</v>
      </c>
      <c r="H415" t="s">
        <v>226</v>
      </c>
      <c r="I415" t="s">
        <v>1359</v>
      </c>
      <c r="J415" t="s">
        <v>2037</v>
      </c>
      <c r="K415" t="s">
        <v>2037</v>
      </c>
      <c r="L415" t="s">
        <v>10</v>
      </c>
    </row>
    <row r="416" spans="1:12" ht="16" x14ac:dyDescent="0.2">
      <c r="A416" t="s">
        <v>873</v>
      </c>
      <c r="B416">
        <v>948</v>
      </c>
      <c r="C416" s="4">
        <v>96.111000000000004</v>
      </c>
      <c r="D416">
        <v>0</v>
      </c>
      <c r="E416" t="s">
        <v>10</v>
      </c>
      <c r="F416" t="s">
        <v>10</v>
      </c>
      <c r="G416" t="s">
        <v>874</v>
      </c>
      <c r="H416" t="s">
        <v>226</v>
      </c>
      <c r="I416" t="s">
        <v>875</v>
      </c>
      <c r="J416" t="s">
        <v>2037</v>
      </c>
      <c r="K416" t="s">
        <v>2037</v>
      </c>
      <c r="L416" t="s">
        <v>10</v>
      </c>
    </row>
    <row r="417" spans="1:12" ht="16" x14ac:dyDescent="0.2">
      <c r="A417" t="s">
        <v>673</v>
      </c>
      <c r="B417">
        <v>681</v>
      </c>
      <c r="C417" s="4">
        <v>96.132999999999996</v>
      </c>
      <c r="D417">
        <v>0</v>
      </c>
      <c r="E417" t="s">
        <v>10</v>
      </c>
      <c r="F417" t="s">
        <v>10</v>
      </c>
      <c r="G417" t="s">
        <v>674</v>
      </c>
      <c r="H417" t="s">
        <v>676</v>
      </c>
      <c r="I417" t="s">
        <v>677</v>
      </c>
      <c r="J417" t="s">
        <v>2038</v>
      </c>
      <c r="K417" t="s">
        <v>2038</v>
      </c>
      <c r="L417" t="s">
        <v>2040</v>
      </c>
    </row>
    <row r="418" spans="1:12" ht="16" x14ac:dyDescent="0.2">
      <c r="A418" t="s">
        <v>1698</v>
      </c>
      <c r="B418">
        <v>2107</v>
      </c>
      <c r="C418" s="4">
        <v>96.132999999999996</v>
      </c>
      <c r="D418">
        <v>3.3549999999999902</v>
      </c>
      <c r="E418" t="s">
        <v>10</v>
      </c>
      <c r="F418" t="s">
        <v>10</v>
      </c>
      <c r="G418" t="s">
        <v>1699</v>
      </c>
      <c r="H418" t="str">
        <f>LEFT(I418, FIND(" sp.", I418) - 1)</f>
        <v>Tydeidae</v>
      </c>
      <c r="I418" t="s">
        <v>1078</v>
      </c>
      <c r="J418" t="s">
        <v>2038</v>
      </c>
      <c r="K418" t="s">
        <v>2038</v>
      </c>
      <c r="L418" t="s">
        <v>2040</v>
      </c>
    </row>
    <row r="419" spans="1:12" ht="16" x14ac:dyDescent="0.2">
      <c r="A419" t="s">
        <v>1626</v>
      </c>
      <c r="B419">
        <v>1992</v>
      </c>
      <c r="C419" s="4">
        <v>96.132999999999996</v>
      </c>
      <c r="D419">
        <v>0.55299999999999705</v>
      </c>
      <c r="E419" t="s">
        <v>10</v>
      </c>
      <c r="F419" t="s">
        <v>10</v>
      </c>
      <c r="G419" t="s">
        <v>10</v>
      </c>
      <c r="H419" t="s">
        <v>525</v>
      </c>
      <c r="I419" t="s">
        <v>526</v>
      </c>
      <c r="J419" t="s">
        <v>2038</v>
      </c>
      <c r="K419" t="s">
        <v>2038</v>
      </c>
      <c r="L419" t="s">
        <v>10</v>
      </c>
    </row>
    <row r="420" spans="1:12" ht="16" x14ac:dyDescent="0.2">
      <c r="A420" t="s">
        <v>1103</v>
      </c>
      <c r="B420">
        <v>1303</v>
      </c>
      <c r="C420" s="4">
        <v>96.132999999999996</v>
      </c>
      <c r="D420">
        <v>96.132999999999996</v>
      </c>
      <c r="H420" t="str">
        <f>LEFT(I420, FIND(" sp.", I420) - 1)</f>
        <v>Cheloninae</v>
      </c>
      <c r="I420" t="s">
        <v>1105</v>
      </c>
      <c r="J420" t="s">
        <v>2038</v>
      </c>
      <c r="K420" t="s">
        <v>2038</v>
      </c>
      <c r="L420" t="s">
        <v>10</v>
      </c>
    </row>
    <row r="421" spans="1:12" ht="16" x14ac:dyDescent="0.2">
      <c r="A421" t="s">
        <v>1654</v>
      </c>
      <c r="B421">
        <v>2030</v>
      </c>
      <c r="C421" s="4">
        <v>96.132999999999996</v>
      </c>
      <c r="D421">
        <v>0</v>
      </c>
      <c r="E421" t="s">
        <v>255</v>
      </c>
      <c r="F421" t="s">
        <v>10</v>
      </c>
      <c r="G421" t="s">
        <v>535</v>
      </c>
      <c r="H421" t="str">
        <f>LEFT(I421, FIND(" sp.", I421) - 1)</f>
        <v>Lepidoptera</v>
      </c>
      <c r="I421" t="s">
        <v>506</v>
      </c>
      <c r="J421" t="s">
        <v>2038</v>
      </c>
      <c r="K421" t="s">
        <v>2038</v>
      </c>
      <c r="L421" t="s">
        <v>10</v>
      </c>
    </row>
    <row r="422" spans="1:12" ht="16" x14ac:dyDescent="0.2">
      <c r="A422" t="s">
        <v>534</v>
      </c>
      <c r="B422">
        <v>525</v>
      </c>
      <c r="C422" s="4">
        <v>96.132999999999996</v>
      </c>
      <c r="D422">
        <v>0</v>
      </c>
      <c r="E422" t="s">
        <v>255</v>
      </c>
      <c r="F422" t="s">
        <v>10</v>
      </c>
      <c r="G422" t="s">
        <v>535</v>
      </c>
      <c r="H422" t="str">
        <f>LEFT(I422, FIND(" sp.", I422) - 1)</f>
        <v>Lepidoptera</v>
      </c>
      <c r="I422" t="s">
        <v>506</v>
      </c>
      <c r="J422" t="s">
        <v>2038</v>
      </c>
      <c r="K422" t="s">
        <v>2038</v>
      </c>
      <c r="L422" t="s">
        <v>10</v>
      </c>
    </row>
    <row r="423" spans="1:12" ht="16" x14ac:dyDescent="0.2">
      <c r="A423" t="s">
        <v>1667</v>
      </c>
      <c r="B423">
        <v>2054</v>
      </c>
      <c r="C423" s="4">
        <v>96.132999999999996</v>
      </c>
      <c r="D423">
        <v>0</v>
      </c>
      <c r="E423" t="s">
        <v>10</v>
      </c>
      <c r="F423" t="s">
        <v>10</v>
      </c>
      <c r="G423" t="s">
        <v>1668</v>
      </c>
      <c r="H423" t="s">
        <v>1669</v>
      </c>
      <c r="I423" t="s">
        <v>1670</v>
      </c>
      <c r="J423" t="s">
        <v>2038</v>
      </c>
      <c r="K423" t="s">
        <v>2038</v>
      </c>
      <c r="L423" t="s">
        <v>10</v>
      </c>
    </row>
    <row r="424" spans="1:12" ht="16" x14ac:dyDescent="0.2">
      <c r="A424" t="s">
        <v>1522</v>
      </c>
      <c r="B424">
        <v>1877</v>
      </c>
      <c r="C424" s="4">
        <v>96.132999999999996</v>
      </c>
      <c r="D424">
        <v>2.1999999999991401E-2</v>
      </c>
      <c r="E424" t="s">
        <v>1523</v>
      </c>
      <c r="F424" t="s">
        <v>1524</v>
      </c>
      <c r="G424" t="s">
        <v>1525</v>
      </c>
      <c r="H424" t="s">
        <v>37</v>
      </c>
      <c r="I424" t="s">
        <v>38</v>
      </c>
      <c r="J424" t="s">
        <v>2038</v>
      </c>
      <c r="K424" t="s">
        <v>2038</v>
      </c>
      <c r="L424" t="s">
        <v>10</v>
      </c>
    </row>
    <row r="425" spans="1:12" ht="16" x14ac:dyDescent="0.2">
      <c r="A425" t="s">
        <v>1546</v>
      </c>
      <c r="B425">
        <v>1893</v>
      </c>
      <c r="C425" s="4">
        <v>96.132999999999996</v>
      </c>
      <c r="D425">
        <v>2.1999999999991401E-2</v>
      </c>
      <c r="E425" t="s">
        <v>11</v>
      </c>
      <c r="F425" t="s">
        <v>11</v>
      </c>
      <c r="G425" t="s">
        <v>1547</v>
      </c>
      <c r="H425" t="s">
        <v>37</v>
      </c>
      <c r="I425" t="s">
        <v>38</v>
      </c>
      <c r="J425" t="s">
        <v>2038</v>
      </c>
      <c r="K425" t="s">
        <v>2038</v>
      </c>
      <c r="L425" t="s">
        <v>10</v>
      </c>
    </row>
    <row r="426" spans="1:12" ht="16" x14ac:dyDescent="0.2">
      <c r="A426" t="s">
        <v>458</v>
      </c>
      <c r="B426">
        <v>406</v>
      </c>
      <c r="C426" s="4">
        <v>96.132999999999996</v>
      </c>
      <c r="D426">
        <v>0</v>
      </c>
      <c r="E426" t="s">
        <v>10</v>
      </c>
      <c r="F426" t="s">
        <v>10</v>
      </c>
      <c r="G426" t="s">
        <v>459</v>
      </c>
      <c r="H426" t="str">
        <f>LEFT(I426, FIND(" sp.", I426) - 1)</f>
        <v>Dolichopodidae</v>
      </c>
      <c r="I426" t="s">
        <v>213</v>
      </c>
      <c r="J426" t="s">
        <v>2038</v>
      </c>
      <c r="K426" t="s">
        <v>2038</v>
      </c>
      <c r="L426" t="s">
        <v>2040</v>
      </c>
    </row>
    <row r="427" spans="1:12" ht="16" x14ac:dyDescent="0.2">
      <c r="A427" t="s">
        <v>1444</v>
      </c>
      <c r="B427">
        <v>1765</v>
      </c>
      <c r="C427" s="4">
        <v>96.132999999999996</v>
      </c>
      <c r="D427">
        <v>0.55299999999999705</v>
      </c>
      <c r="E427" t="s">
        <v>734</v>
      </c>
      <c r="F427" t="s">
        <v>735</v>
      </c>
      <c r="G427" t="s">
        <v>736</v>
      </c>
      <c r="H427" t="str">
        <f>LEFT(I427, FIND(" sp.", I427) - 1)</f>
        <v>Dolichopodidae</v>
      </c>
      <c r="I427" t="s">
        <v>214</v>
      </c>
      <c r="J427" t="s">
        <v>2038</v>
      </c>
      <c r="K427" t="s">
        <v>2038</v>
      </c>
      <c r="L427" t="s">
        <v>2040</v>
      </c>
    </row>
    <row r="428" spans="1:12" ht="16" x14ac:dyDescent="0.2">
      <c r="A428" t="s">
        <v>1827</v>
      </c>
      <c r="B428">
        <v>2253</v>
      </c>
      <c r="C428" s="4">
        <v>96.132999999999996</v>
      </c>
      <c r="D428">
        <v>0</v>
      </c>
      <c r="E428" t="s">
        <v>734</v>
      </c>
      <c r="F428" t="s">
        <v>735</v>
      </c>
      <c r="G428" t="s">
        <v>736</v>
      </c>
      <c r="H428" t="str">
        <f>LEFT(I428, FIND(" sp.", I428) - 1)</f>
        <v>Dolichopodidae</v>
      </c>
      <c r="I428" t="s">
        <v>214</v>
      </c>
      <c r="J428" t="s">
        <v>2038</v>
      </c>
      <c r="K428" t="s">
        <v>2038</v>
      </c>
      <c r="L428" t="s">
        <v>2040</v>
      </c>
    </row>
    <row r="429" spans="1:12" ht="16" x14ac:dyDescent="0.2">
      <c r="A429" t="s">
        <v>733</v>
      </c>
      <c r="B429">
        <v>754</v>
      </c>
      <c r="C429" s="4">
        <v>96.132999999999996</v>
      </c>
      <c r="D429">
        <v>0.55299999999999705</v>
      </c>
      <c r="E429" t="s">
        <v>734</v>
      </c>
      <c r="F429" t="s">
        <v>735</v>
      </c>
      <c r="G429" t="s">
        <v>736</v>
      </c>
      <c r="H429" t="str">
        <f>LEFT(I429, FIND(" sp.", I429) - 1)</f>
        <v>Dolichopodidae</v>
      </c>
      <c r="I429" t="s">
        <v>214</v>
      </c>
      <c r="J429" t="s">
        <v>2038</v>
      </c>
      <c r="K429" t="s">
        <v>2038</v>
      </c>
      <c r="L429" t="s">
        <v>2040</v>
      </c>
    </row>
    <row r="430" spans="1:12" ht="16" x14ac:dyDescent="0.2">
      <c r="A430" t="s">
        <v>913</v>
      </c>
      <c r="B430">
        <v>1019</v>
      </c>
      <c r="C430" s="4">
        <v>96.132999999999996</v>
      </c>
      <c r="D430">
        <v>0.55299999999999705</v>
      </c>
      <c r="E430" t="s">
        <v>33</v>
      </c>
      <c r="F430" t="s">
        <v>914</v>
      </c>
      <c r="G430" t="s">
        <v>915</v>
      </c>
      <c r="H430" t="s">
        <v>916</v>
      </c>
      <c r="I430" t="s">
        <v>917</v>
      </c>
      <c r="J430" t="s">
        <v>2038</v>
      </c>
      <c r="K430" t="s">
        <v>2038</v>
      </c>
      <c r="L430" t="s">
        <v>2040</v>
      </c>
    </row>
    <row r="431" spans="1:12" ht="16" x14ac:dyDescent="0.2">
      <c r="A431" t="s">
        <v>1822</v>
      </c>
      <c r="B431">
        <v>2243</v>
      </c>
      <c r="C431" s="4">
        <v>96.132999999999996</v>
      </c>
      <c r="D431">
        <v>0.45399999999999402</v>
      </c>
      <c r="E431" t="s">
        <v>10</v>
      </c>
      <c r="F431" t="s">
        <v>11</v>
      </c>
      <c r="G431" t="s">
        <v>899</v>
      </c>
      <c r="H431" t="s">
        <v>60</v>
      </c>
      <c r="I431" t="s">
        <v>61</v>
      </c>
      <c r="J431" t="s">
        <v>2037</v>
      </c>
      <c r="K431" t="s">
        <v>2037</v>
      </c>
      <c r="L431" t="s">
        <v>2040</v>
      </c>
    </row>
    <row r="432" spans="1:12" ht="16" x14ac:dyDescent="0.2">
      <c r="A432" t="s">
        <v>22</v>
      </c>
      <c r="B432">
        <v>13</v>
      </c>
      <c r="C432" s="4">
        <v>96.132999999999996</v>
      </c>
      <c r="D432">
        <v>2.1999999999991401E-2</v>
      </c>
      <c r="E432" t="s">
        <v>10</v>
      </c>
      <c r="F432" t="s">
        <v>10</v>
      </c>
      <c r="G432" t="s">
        <v>10</v>
      </c>
      <c r="H432" t="s">
        <v>24</v>
      </c>
      <c r="I432" t="s">
        <v>25</v>
      </c>
      <c r="J432" t="s">
        <v>2037</v>
      </c>
      <c r="K432" t="s">
        <v>2037</v>
      </c>
      <c r="L432" t="s">
        <v>10</v>
      </c>
    </row>
    <row r="433" spans="1:12" ht="16" x14ac:dyDescent="0.2">
      <c r="A433" t="s">
        <v>1800</v>
      </c>
      <c r="B433">
        <v>2218</v>
      </c>
      <c r="C433" s="4">
        <v>96.132999999999996</v>
      </c>
      <c r="D433">
        <v>0.55299999999999705</v>
      </c>
      <c r="E433" t="s">
        <v>10</v>
      </c>
      <c r="F433" t="s">
        <v>10</v>
      </c>
      <c r="G433" t="s">
        <v>10</v>
      </c>
      <c r="H433" t="s">
        <v>1801</v>
      </c>
      <c r="I433" t="s">
        <v>1802</v>
      </c>
      <c r="J433" t="s">
        <v>2038</v>
      </c>
      <c r="L433" t="s">
        <v>2040</v>
      </c>
    </row>
    <row r="434" spans="1:12" ht="16" x14ac:dyDescent="0.2">
      <c r="A434" t="s">
        <v>1255</v>
      </c>
      <c r="B434">
        <v>1514</v>
      </c>
      <c r="C434" s="4">
        <v>96.132999999999996</v>
      </c>
      <c r="D434">
        <v>2.1999999999991401E-2</v>
      </c>
      <c r="E434" t="s">
        <v>159</v>
      </c>
      <c r="F434" t="s">
        <v>11</v>
      </c>
      <c r="G434" t="s">
        <v>1256</v>
      </c>
      <c r="H434" t="s">
        <v>735</v>
      </c>
      <c r="I434" t="s">
        <v>736</v>
      </c>
      <c r="J434" t="s">
        <v>2038</v>
      </c>
      <c r="L434" t="s">
        <v>10</v>
      </c>
    </row>
    <row r="435" spans="1:12" ht="16" x14ac:dyDescent="0.2">
      <c r="A435" t="s">
        <v>507</v>
      </c>
      <c r="B435">
        <v>483</v>
      </c>
      <c r="C435" s="4">
        <v>96.132999999999996</v>
      </c>
      <c r="D435">
        <v>2.7629999999999901</v>
      </c>
      <c r="E435" t="s">
        <v>118</v>
      </c>
      <c r="F435" t="s">
        <v>10</v>
      </c>
      <c r="H435" t="s">
        <v>11</v>
      </c>
      <c r="J435" s="2" t="s">
        <v>2714</v>
      </c>
      <c r="L435" t="s">
        <v>2040</v>
      </c>
    </row>
    <row r="436" spans="1:12" ht="16" x14ac:dyDescent="0.2">
      <c r="A436" t="s">
        <v>1555</v>
      </c>
      <c r="B436">
        <v>1904</v>
      </c>
      <c r="C436" s="4">
        <v>96.177999999999997</v>
      </c>
      <c r="D436">
        <v>0.152000000000001</v>
      </c>
      <c r="E436" t="s">
        <v>11</v>
      </c>
      <c r="F436" t="s">
        <v>11</v>
      </c>
      <c r="G436" t="s">
        <v>730</v>
      </c>
      <c r="H436" t="s">
        <v>731</v>
      </c>
      <c r="I436" t="s">
        <v>732</v>
      </c>
      <c r="J436" t="s">
        <v>2038</v>
      </c>
      <c r="K436" t="s">
        <v>2038</v>
      </c>
      <c r="L436" t="s">
        <v>10</v>
      </c>
    </row>
    <row r="437" spans="1:12" ht="16" x14ac:dyDescent="0.2">
      <c r="A437" t="s">
        <v>817</v>
      </c>
      <c r="B437">
        <v>876</v>
      </c>
      <c r="C437" s="4">
        <v>96.364000000000004</v>
      </c>
      <c r="D437">
        <v>2.024</v>
      </c>
      <c r="E437" t="s">
        <v>195</v>
      </c>
      <c r="F437" t="s">
        <v>818</v>
      </c>
      <c r="G437" t="s">
        <v>819</v>
      </c>
      <c r="H437" t="s">
        <v>820</v>
      </c>
      <c r="I437" t="s">
        <v>821</v>
      </c>
      <c r="J437" t="s">
        <v>2038</v>
      </c>
      <c r="K437" t="s">
        <v>2038</v>
      </c>
      <c r="L437" t="s">
        <v>10</v>
      </c>
    </row>
    <row r="438" spans="1:12" ht="16" x14ac:dyDescent="0.2">
      <c r="A438" t="s">
        <v>933</v>
      </c>
      <c r="B438">
        <v>1048</v>
      </c>
      <c r="C438" s="4">
        <v>96.512</v>
      </c>
      <c r="D438">
        <v>0.95600000000000296</v>
      </c>
      <c r="E438" t="s">
        <v>10</v>
      </c>
      <c r="F438" t="s">
        <v>495</v>
      </c>
      <c r="G438" t="s">
        <v>934</v>
      </c>
      <c r="H438" t="s">
        <v>935</v>
      </c>
      <c r="I438" t="s">
        <v>936</v>
      </c>
      <c r="J438" t="s">
        <v>2038</v>
      </c>
      <c r="K438" t="s">
        <v>2038</v>
      </c>
      <c r="L438" t="s">
        <v>10</v>
      </c>
    </row>
    <row r="439" spans="1:12" ht="16" x14ac:dyDescent="0.2">
      <c r="A439" t="s">
        <v>1735</v>
      </c>
      <c r="B439">
        <v>2157</v>
      </c>
      <c r="C439" s="4">
        <v>96.552000000000007</v>
      </c>
      <c r="D439">
        <v>0.90000000000000602</v>
      </c>
      <c r="E439" t="s">
        <v>10</v>
      </c>
      <c r="F439" t="s">
        <v>10</v>
      </c>
      <c r="G439" t="s">
        <v>367</v>
      </c>
      <c r="H439" t="s">
        <v>368</v>
      </c>
      <c r="I439" t="s">
        <v>369</v>
      </c>
      <c r="J439" t="s">
        <v>2038</v>
      </c>
      <c r="K439" t="s">
        <v>2038</v>
      </c>
      <c r="L439" t="s">
        <v>10</v>
      </c>
    </row>
    <row r="440" spans="1:12" ht="16" x14ac:dyDescent="0.2">
      <c r="A440" t="s">
        <v>1108</v>
      </c>
      <c r="B440">
        <v>1310</v>
      </c>
      <c r="C440" s="4">
        <v>96.61</v>
      </c>
      <c r="D440">
        <v>1.03</v>
      </c>
      <c r="E440" t="s">
        <v>10</v>
      </c>
      <c r="F440" t="s">
        <v>747</v>
      </c>
      <c r="G440" t="s">
        <v>1109</v>
      </c>
      <c r="H440" t="s">
        <v>37</v>
      </c>
      <c r="I440" t="s">
        <v>38</v>
      </c>
      <c r="J440" t="s">
        <v>2038</v>
      </c>
      <c r="K440" t="s">
        <v>2038</v>
      </c>
      <c r="L440" t="s">
        <v>10</v>
      </c>
    </row>
    <row r="441" spans="1:12" ht="16" x14ac:dyDescent="0.2">
      <c r="A441" t="s">
        <v>663</v>
      </c>
      <c r="B441">
        <v>670</v>
      </c>
      <c r="C441" s="4">
        <v>96.629000000000005</v>
      </c>
      <c r="D441">
        <v>1.123</v>
      </c>
      <c r="E441" t="s">
        <v>10</v>
      </c>
      <c r="F441" t="s">
        <v>11</v>
      </c>
      <c r="G441" t="s">
        <v>153</v>
      </c>
      <c r="H441" t="s">
        <v>154</v>
      </c>
      <c r="I441" t="s">
        <v>155</v>
      </c>
      <c r="J441" t="s">
        <v>2038</v>
      </c>
      <c r="K441" t="s">
        <v>2038</v>
      </c>
      <c r="L441" t="s">
        <v>2040</v>
      </c>
    </row>
    <row r="442" spans="1:12" ht="16" x14ac:dyDescent="0.2">
      <c r="A442" t="s">
        <v>114</v>
      </c>
      <c r="B442">
        <v>66</v>
      </c>
      <c r="C442" s="4">
        <v>96.647999999999996</v>
      </c>
      <c r="D442">
        <v>0.53699999999999204</v>
      </c>
      <c r="E442" t="s">
        <v>10</v>
      </c>
      <c r="F442" t="s">
        <v>10</v>
      </c>
      <c r="G442" t="s">
        <v>10</v>
      </c>
      <c r="H442" t="s">
        <v>115</v>
      </c>
      <c r="I442" t="s">
        <v>116</v>
      </c>
      <c r="J442" t="s">
        <v>2038</v>
      </c>
      <c r="K442" t="s">
        <v>2038</v>
      </c>
      <c r="L442" t="s">
        <v>2040</v>
      </c>
    </row>
    <row r="443" spans="1:12" ht="16" x14ac:dyDescent="0.2">
      <c r="A443" t="s">
        <v>1268</v>
      </c>
      <c r="B443">
        <v>1530</v>
      </c>
      <c r="C443" s="4">
        <v>96.647999999999996</v>
      </c>
      <c r="D443">
        <v>0.55899999999999705</v>
      </c>
      <c r="E443" t="s">
        <v>10</v>
      </c>
      <c r="F443" t="s">
        <v>10</v>
      </c>
      <c r="G443" t="s">
        <v>1269</v>
      </c>
      <c r="H443" t="s">
        <v>1270</v>
      </c>
      <c r="I443" t="s">
        <v>1271</v>
      </c>
      <c r="J443" t="s">
        <v>2038</v>
      </c>
      <c r="K443" t="s">
        <v>2038</v>
      </c>
      <c r="L443" t="s">
        <v>10</v>
      </c>
    </row>
    <row r="444" spans="1:12" ht="16" x14ac:dyDescent="0.2">
      <c r="A444" t="s">
        <v>1905</v>
      </c>
      <c r="B444">
        <v>2333</v>
      </c>
      <c r="C444" s="4">
        <v>96.667000000000002</v>
      </c>
      <c r="D444">
        <v>0.55599999999999705</v>
      </c>
      <c r="E444" t="s">
        <v>10</v>
      </c>
      <c r="F444" t="s">
        <v>10</v>
      </c>
      <c r="G444" t="s">
        <v>10</v>
      </c>
      <c r="H444" t="s">
        <v>1298</v>
      </c>
      <c r="I444" t="s">
        <v>1906</v>
      </c>
      <c r="J444" t="s">
        <v>2038</v>
      </c>
      <c r="K444" t="s">
        <v>2038</v>
      </c>
      <c r="L444" t="s">
        <v>10</v>
      </c>
    </row>
    <row r="445" spans="1:12" ht="16" x14ac:dyDescent="0.2">
      <c r="A445" t="s">
        <v>1069</v>
      </c>
      <c r="B445">
        <v>1272</v>
      </c>
      <c r="C445" s="4">
        <v>96.667000000000002</v>
      </c>
      <c r="D445">
        <v>0</v>
      </c>
      <c r="E445" t="s">
        <v>255</v>
      </c>
      <c r="F445" t="s">
        <v>11</v>
      </c>
      <c r="G445" t="s">
        <v>1070</v>
      </c>
      <c r="H445" t="s">
        <v>1071</v>
      </c>
      <c r="I445" t="s">
        <v>1072</v>
      </c>
      <c r="J445" t="s">
        <v>2038</v>
      </c>
      <c r="K445" t="s">
        <v>2038</v>
      </c>
      <c r="L445" t="s">
        <v>10</v>
      </c>
    </row>
    <row r="446" spans="1:12" ht="16" x14ac:dyDescent="0.2">
      <c r="A446" t="s">
        <v>325</v>
      </c>
      <c r="B446">
        <v>238</v>
      </c>
      <c r="C446" s="4">
        <v>96.667000000000002</v>
      </c>
      <c r="D446">
        <v>0.53400000000000603</v>
      </c>
      <c r="E446" t="s">
        <v>10</v>
      </c>
      <c r="F446" t="s">
        <v>10</v>
      </c>
      <c r="G446" t="s">
        <v>326</v>
      </c>
      <c r="H446" t="s">
        <v>229</v>
      </c>
      <c r="I446" t="s">
        <v>327</v>
      </c>
      <c r="J446" t="s">
        <v>2038</v>
      </c>
      <c r="K446" t="s">
        <v>2038</v>
      </c>
      <c r="L446" t="s">
        <v>10</v>
      </c>
    </row>
    <row r="447" spans="1:12" ht="16" x14ac:dyDescent="0.2">
      <c r="A447" t="s">
        <v>2024</v>
      </c>
      <c r="B447">
        <v>2576</v>
      </c>
      <c r="C447" s="4">
        <v>96.667000000000002</v>
      </c>
      <c r="D447">
        <v>0.55599999999999705</v>
      </c>
      <c r="E447" t="s">
        <v>10</v>
      </c>
      <c r="F447" t="s">
        <v>1774</v>
      </c>
      <c r="G447" t="s">
        <v>1775</v>
      </c>
      <c r="H447" t="s">
        <v>1776</v>
      </c>
      <c r="I447" t="s">
        <v>1777</v>
      </c>
      <c r="J447" t="s">
        <v>2038</v>
      </c>
      <c r="K447" t="s">
        <v>2038</v>
      </c>
      <c r="L447" t="s">
        <v>10</v>
      </c>
    </row>
    <row r="448" spans="1:12" ht="16" x14ac:dyDescent="0.2">
      <c r="A448" t="s">
        <v>500</v>
      </c>
      <c r="B448">
        <v>478</v>
      </c>
      <c r="C448" s="4">
        <v>96.667000000000002</v>
      </c>
      <c r="D448">
        <v>0</v>
      </c>
      <c r="E448" t="s">
        <v>10</v>
      </c>
      <c r="F448" t="s">
        <v>10</v>
      </c>
      <c r="G448" t="s">
        <v>501</v>
      </c>
      <c r="H448" t="s">
        <v>502</v>
      </c>
      <c r="I448" t="s">
        <v>503</v>
      </c>
      <c r="J448" t="s">
        <v>2038</v>
      </c>
      <c r="K448" t="s">
        <v>2038</v>
      </c>
      <c r="L448" t="s">
        <v>10</v>
      </c>
    </row>
    <row r="449" spans="1:12" ht="16" x14ac:dyDescent="0.2">
      <c r="A449" t="s">
        <v>1350</v>
      </c>
      <c r="B449">
        <v>1599</v>
      </c>
      <c r="C449" s="4">
        <v>96.667000000000002</v>
      </c>
      <c r="D449">
        <v>0.53400000000000603</v>
      </c>
      <c r="E449" t="s">
        <v>33</v>
      </c>
      <c r="F449" t="s">
        <v>34</v>
      </c>
      <c r="G449" t="s">
        <v>35</v>
      </c>
      <c r="H449" t="s">
        <v>698</v>
      </c>
      <c r="I449" t="s">
        <v>699</v>
      </c>
      <c r="J449" t="s">
        <v>2038</v>
      </c>
      <c r="K449" t="s">
        <v>2038</v>
      </c>
      <c r="L449" t="s">
        <v>10</v>
      </c>
    </row>
    <row r="450" spans="1:12" ht="16" x14ac:dyDescent="0.2">
      <c r="A450" t="s">
        <v>224</v>
      </c>
      <c r="B450">
        <v>161</v>
      </c>
      <c r="C450" s="4">
        <v>96.667000000000002</v>
      </c>
      <c r="D450">
        <v>0.53400000000000603</v>
      </c>
      <c r="E450" t="s">
        <v>10</v>
      </c>
      <c r="F450" t="s">
        <v>10</v>
      </c>
      <c r="G450" t="s">
        <v>10</v>
      </c>
      <c r="H450" t="s">
        <v>226</v>
      </c>
      <c r="I450" t="s">
        <v>227</v>
      </c>
      <c r="J450" t="s">
        <v>2037</v>
      </c>
      <c r="K450" t="s">
        <v>2037</v>
      </c>
      <c r="L450" t="s">
        <v>10</v>
      </c>
    </row>
    <row r="451" spans="1:12" ht="16" x14ac:dyDescent="0.2">
      <c r="A451" t="s">
        <v>601</v>
      </c>
      <c r="B451">
        <v>610</v>
      </c>
      <c r="C451" s="4">
        <v>96.685000000000002</v>
      </c>
      <c r="D451">
        <v>1.8000000000000699E-2</v>
      </c>
      <c r="E451" t="s">
        <v>225</v>
      </c>
      <c r="F451" t="s">
        <v>226</v>
      </c>
      <c r="G451" t="s">
        <v>602</v>
      </c>
      <c r="H451" t="s">
        <v>604</v>
      </c>
      <c r="I451" t="s">
        <v>605</v>
      </c>
      <c r="J451" t="s">
        <v>2038</v>
      </c>
      <c r="K451" t="s">
        <v>2038</v>
      </c>
      <c r="L451" t="s">
        <v>2040</v>
      </c>
    </row>
    <row r="452" spans="1:12" ht="16" x14ac:dyDescent="0.2">
      <c r="A452" t="s">
        <v>353</v>
      </c>
      <c r="B452">
        <v>267</v>
      </c>
      <c r="C452" s="4">
        <v>96.685000000000002</v>
      </c>
      <c r="D452">
        <v>1.8000000000000699E-2</v>
      </c>
      <c r="E452" t="s">
        <v>10</v>
      </c>
      <c r="F452" t="s">
        <v>10</v>
      </c>
      <c r="G452" t="s">
        <v>354</v>
      </c>
      <c r="H452" t="s">
        <v>355</v>
      </c>
      <c r="I452" t="s">
        <v>356</v>
      </c>
      <c r="J452" t="s">
        <v>2038</v>
      </c>
      <c r="K452" t="s">
        <v>2038</v>
      </c>
      <c r="L452" t="s">
        <v>2040</v>
      </c>
    </row>
    <row r="453" spans="1:12" ht="16" x14ac:dyDescent="0.2">
      <c r="A453" t="s">
        <v>1076</v>
      </c>
      <c r="B453">
        <v>1277</v>
      </c>
      <c r="C453" s="4">
        <v>96.685000000000002</v>
      </c>
      <c r="D453">
        <v>2.2100000000000102</v>
      </c>
      <c r="E453" t="s">
        <v>10</v>
      </c>
      <c r="F453" t="s">
        <v>10</v>
      </c>
      <c r="G453" t="s">
        <v>1077</v>
      </c>
      <c r="H453" t="str">
        <f>LEFT(I453, FIND(" sp.", I453) - 1)</f>
        <v>Tydeidae</v>
      </c>
      <c r="I453" t="s">
        <v>1078</v>
      </c>
      <c r="J453" t="s">
        <v>2038</v>
      </c>
      <c r="K453" t="s">
        <v>2038</v>
      </c>
      <c r="L453" t="s">
        <v>2040</v>
      </c>
    </row>
    <row r="454" spans="1:12" ht="16" x14ac:dyDescent="0.2">
      <c r="A454" t="s">
        <v>1386</v>
      </c>
      <c r="B454">
        <v>1644</v>
      </c>
      <c r="C454" s="4">
        <v>96.685000000000002</v>
      </c>
      <c r="D454">
        <v>0.55200000000000704</v>
      </c>
      <c r="E454" t="s">
        <v>10</v>
      </c>
      <c r="F454" t="s">
        <v>10</v>
      </c>
      <c r="G454" t="s">
        <v>10</v>
      </c>
      <c r="H454" t="s">
        <v>525</v>
      </c>
      <c r="I454" t="s">
        <v>526</v>
      </c>
      <c r="J454" t="s">
        <v>2038</v>
      </c>
      <c r="K454" t="s">
        <v>2038</v>
      </c>
      <c r="L454" t="s">
        <v>10</v>
      </c>
    </row>
    <row r="455" spans="1:12" ht="16" x14ac:dyDescent="0.2">
      <c r="A455" t="s">
        <v>524</v>
      </c>
      <c r="B455">
        <v>517</v>
      </c>
      <c r="C455" s="4">
        <v>96.685000000000002</v>
      </c>
      <c r="D455">
        <v>0.55200000000000704</v>
      </c>
      <c r="E455" t="s">
        <v>10</v>
      </c>
      <c r="F455" t="s">
        <v>10</v>
      </c>
      <c r="G455" t="s">
        <v>10</v>
      </c>
      <c r="H455" t="s">
        <v>525</v>
      </c>
      <c r="I455" t="s">
        <v>526</v>
      </c>
      <c r="J455" t="s">
        <v>2038</v>
      </c>
      <c r="K455" t="s">
        <v>2038</v>
      </c>
      <c r="L455" t="s">
        <v>10</v>
      </c>
    </row>
    <row r="456" spans="1:12" ht="16" x14ac:dyDescent="0.2">
      <c r="A456" t="s">
        <v>1904</v>
      </c>
      <c r="B456">
        <v>2332</v>
      </c>
      <c r="C456" s="4">
        <v>96.685000000000002</v>
      </c>
      <c r="D456">
        <v>96.685000000000002</v>
      </c>
      <c r="H456" t="s">
        <v>121</v>
      </c>
      <c r="I456" t="s">
        <v>122</v>
      </c>
      <c r="J456" t="s">
        <v>2038</v>
      </c>
      <c r="K456" t="s">
        <v>2038</v>
      </c>
      <c r="L456" t="s">
        <v>10</v>
      </c>
    </row>
    <row r="457" spans="1:12" ht="16" x14ac:dyDescent="0.2">
      <c r="A457" t="s">
        <v>973</v>
      </c>
      <c r="B457">
        <v>1125</v>
      </c>
      <c r="C457" s="4">
        <v>96.685000000000002</v>
      </c>
      <c r="D457">
        <v>0</v>
      </c>
      <c r="E457" t="s">
        <v>255</v>
      </c>
      <c r="F457" t="s">
        <v>10</v>
      </c>
      <c r="G457" t="s">
        <v>535</v>
      </c>
      <c r="H457" t="str">
        <f>LEFT(I457, FIND(" sp.", I457) - 1)</f>
        <v>Lepidoptera</v>
      </c>
      <c r="I457" t="s">
        <v>506</v>
      </c>
      <c r="J457" t="s">
        <v>2038</v>
      </c>
      <c r="K457" t="s">
        <v>2038</v>
      </c>
      <c r="L457" t="s">
        <v>10</v>
      </c>
    </row>
    <row r="458" spans="1:12" ht="16" x14ac:dyDescent="0.2">
      <c r="A458" t="s">
        <v>1331</v>
      </c>
      <c r="B458">
        <v>1577</v>
      </c>
      <c r="C458" s="4">
        <v>96.685000000000002</v>
      </c>
      <c r="D458">
        <v>0</v>
      </c>
      <c r="E458" t="s">
        <v>255</v>
      </c>
      <c r="F458" t="s">
        <v>10</v>
      </c>
      <c r="G458" t="s">
        <v>535</v>
      </c>
      <c r="H458" t="str">
        <f>LEFT(I458, FIND(" sp.", I458) - 1)</f>
        <v>Lepidoptera</v>
      </c>
      <c r="I458" t="s">
        <v>506</v>
      </c>
      <c r="J458" t="s">
        <v>2038</v>
      </c>
      <c r="K458" t="s">
        <v>2038</v>
      </c>
      <c r="L458" t="s">
        <v>10</v>
      </c>
    </row>
    <row r="459" spans="1:12" ht="16" x14ac:dyDescent="0.2">
      <c r="A459" t="s">
        <v>1512</v>
      </c>
      <c r="B459">
        <v>1855</v>
      </c>
      <c r="C459" s="4">
        <v>96.685000000000002</v>
      </c>
      <c r="D459">
        <v>96.685000000000002</v>
      </c>
      <c r="H459" t="s">
        <v>978</v>
      </c>
      <c r="I459" t="s">
        <v>1513</v>
      </c>
      <c r="J459" t="s">
        <v>2038</v>
      </c>
      <c r="K459" t="s">
        <v>2038</v>
      </c>
      <c r="L459" t="s">
        <v>10</v>
      </c>
    </row>
    <row r="460" spans="1:12" ht="16" x14ac:dyDescent="0.2">
      <c r="A460" t="s">
        <v>1058</v>
      </c>
      <c r="B460">
        <v>1263</v>
      </c>
      <c r="C460" s="4">
        <v>96.685000000000002</v>
      </c>
      <c r="D460">
        <v>0.55200000000000704</v>
      </c>
      <c r="E460" t="s">
        <v>10</v>
      </c>
      <c r="F460" t="s">
        <v>1059</v>
      </c>
      <c r="G460" t="s">
        <v>1060</v>
      </c>
      <c r="H460" t="s">
        <v>1061</v>
      </c>
      <c r="I460" t="s">
        <v>1062</v>
      </c>
      <c r="J460" t="s">
        <v>2038</v>
      </c>
      <c r="K460" t="s">
        <v>2038</v>
      </c>
      <c r="L460" t="s">
        <v>10</v>
      </c>
    </row>
    <row r="461" spans="1:12" ht="16" x14ac:dyDescent="0.2">
      <c r="A461" t="s">
        <v>240</v>
      </c>
      <c r="B461">
        <v>169</v>
      </c>
      <c r="C461" s="4">
        <v>96.685000000000002</v>
      </c>
      <c r="D461">
        <v>4.5060000000000002</v>
      </c>
      <c r="E461" t="s">
        <v>241</v>
      </c>
      <c r="F461" t="s">
        <v>242</v>
      </c>
      <c r="G461" t="s">
        <v>243</v>
      </c>
      <c r="H461" t="s">
        <v>244</v>
      </c>
      <c r="I461" t="s">
        <v>245</v>
      </c>
      <c r="J461" t="s">
        <v>2038</v>
      </c>
      <c r="K461" t="s">
        <v>2038</v>
      </c>
      <c r="L461" t="s">
        <v>10</v>
      </c>
    </row>
    <row r="462" spans="1:12" ht="16" x14ac:dyDescent="0.2">
      <c r="A462" t="s">
        <v>467</v>
      </c>
      <c r="B462">
        <v>413</v>
      </c>
      <c r="C462" s="4">
        <v>96.685000000000002</v>
      </c>
      <c r="D462">
        <v>0.55200000000000704</v>
      </c>
      <c r="E462" t="s">
        <v>10</v>
      </c>
      <c r="F462" t="s">
        <v>10</v>
      </c>
      <c r="G462" t="s">
        <v>10</v>
      </c>
      <c r="H462" t="s">
        <v>37</v>
      </c>
      <c r="I462" t="s">
        <v>38</v>
      </c>
      <c r="J462" t="s">
        <v>2038</v>
      </c>
      <c r="K462" t="s">
        <v>2038</v>
      </c>
      <c r="L462" t="s">
        <v>10</v>
      </c>
    </row>
    <row r="463" spans="1:12" ht="16" x14ac:dyDescent="0.2">
      <c r="A463" t="s">
        <v>728</v>
      </c>
      <c r="B463">
        <v>744</v>
      </c>
      <c r="C463" s="4">
        <v>96.685000000000002</v>
      </c>
      <c r="D463">
        <v>0.55200000000000704</v>
      </c>
      <c r="E463" t="s">
        <v>10</v>
      </c>
      <c r="F463" t="s">
        <v>10</v>
      </c>
      <c r="G463" t="s">
        <v>10</v>
      </c>
      <c r="H463" t="s">
        <v>37</v>
      </c>
      <c r="I463" t="s">
        <v>38</v>
      </c>
      <c r="J463" t="s">
        <v>2038</v>
      </c>
      <c r="K463" t="s">
        <v>2038</v>
      </c>
      <c r="L463" t="s">
        <v>10</v>
      </c>
    </row>
    <row r="464" spans="1:12" ht="16" x14ac:dyDescent="0.2">
      <c r="A464" t="s">
        <v>746</v>
      </c>
      <c r="B464">
        <v>770</v>
      </c>
      <c r="C464" s="4">
        <v>96.685000000000002</v>
      </c>
      <c r="D464">
        <v>0.55200000000000704</v>
      </c>
      <c r="E464" t="s">
        <v>10</v>
      </c>
      <c r="F464" t="s">
        <v>747</v>
      </c>
      <c r="G464" t="s">
        <v>748</v>
      </c>
      <c r="H464" t="s">
        <v>37</v>
      </c>
      <c r="I464" t="s">
        <v>38</v>
      </c>
      <c r="J464" t="s">
        <v>2038</v>
      </c>
      <c r="K464" t="s">
        <v>2038</v>
      </c>
      <c r="L464" t="s">
        <v>10</v>
      </c>
    </row>
    <row r="465" spans="1:12" ht="16" x14ac:dyDescent="0.2">
      <c r="A465" t="s">
        <v>152</v>
      </c>
      <c r="B465">
        <v>87</v>
      </c>
      <c r="C465" s="4">
        <v>96.685000000000002</v>
      </c>
      <c r="D465">
        <v>1.105</v>
      </c>
      <c r="E465" t="s">
        <v>10</v>
      </c>
      <c r="F465" t="s">
        <v>11</v>
      </c>
      <c r="G465" t="s">
        <v>153</v>
      </c>
      <c r="H465" t="s">
        <v>154</v>
      </c>
      <c r="I465" t="s">
        <v>155</v>
      </c>
      <c r="J465" t="s">
        <v>2038</v>
      </c>
      <c r="K465" t="s">
        <v>2038</v>
      </c>
      <c r="L465" t="s">
        <v>10</v>
      </c>
    </row>
    <row r="466" spans="1:12" ht="16" x14ac:dyDescent="0.2">
      <c r="A466" t="s">
        <v>1724</v>
      </c>
      <c r="B466">
        <v>2133</v>
      </c>
      <c r="C466" s="4">
        <v>96.685000000000002</v>
      </c>
      <c r="D466">
        <v>1.8000000000000699E-2</v>
      </c>
      <c r="E466" t="s">
        <v>10</v>
      </c>
      <c r="F466" t="s">
        <v>10</v>
      </c>
      <c r="G466" t="s">
        <v>1256</v>
      </c>
      <c r="H466" t="str">
        <f>LEFT(I466, FIND(" sp.", I466) - 1)</f>
        <v>Dolichopodidae</v>
      </c>
      <c r="I466" t="s">
        <v>213</v>
      </c>
      <c r="J466" t="s">
        <v>2038</v>
      </c>
      <c r="K466" t="s">
        <v>2038</v>
      </c>
    </row>
    <row r="467" spans="1:12" ht="16" x14ac:dyDescent="0.2">
      <c r="A467" t="s">
        <v>695</v>
      </c>
      <c r="B467">
        <v>702</v>
      </c>
      <c r="C467" s="4">
        <v>96.685000000000002</v>
      </c>
      <c r="D467">
        <v>0.55200000000000704</v>
      </c>
      <c r="E467" t="s">
        <v>241</v>
      </c>
      <c r="F467" t="s">
        <v>696</v>
      </c>
      <c r="G467" t="s">
        <v>697</v>
      </c>
      <c r="H467" t="s">
        <v>698</v>
      </c>
      <c r="I467" t="s">
        <v>699</v>
      </c>
      <c r="J467" t="s">
        <v>2038</v>
      </c>
      <c r="K467" t="s">
        <v>2038</v>
      </c>
    </row>
    <row r="468" spans="1:12" ht="16" x14ac:dyDescent="0.2">
      <c r="A468" t="s">
        <v>1267</v>
      </c>
      <c r="B468">
        <v>1527</v>
      </c>
      <c r="C468" s="4">
        <v>96.685000000000002</v>
      </c>
      <c r="D468">
        <v>0.38899999999999602</v>
      </c>
      <c r="E468" t="s">
        <v>10</v>
      </c>
      <c r="F468" t="s">
        <v>11</v>
      </c>
      <c r="G468" t="s">
        <v>899</v>
      </c>
      <c r="H468" t="s">
        <v>60</v>
      </c>
      <c r="I468" t="s">
        <v>61</v>
      </c>
      <c r="J468" t="s">
        <v>2037</v>
      </c>
      <c r="K468" t="s">
        <v>2037</v>
      </c>
      <c r="L468" t="s">
        <v>2040</v>
      </c>
    </row>
    <row r="469" spans="1:12" ht="16" x14ac:dyDescent="0.2">
      <c r="A469" t="s">
        <v>1574</v>
      </c>
      <c r="B469">
        <v>1927</v>
      </c>
      <c r="C469" s="4">
        <v>96.685000000000002</v>
      </c>
      <c r="D469">
        <v>3.3149999999999999</v>
      </c>
      <c r="E469" t="s">
        <v>10</v>
      </c>
      <c r="F469" t="s">
        <v>10</v>
      </c>
      <c r="G469" t="s">
        <v>10</v>
      </c>
      <c r="H469" t="s">
        <v>409</v>
      </c>
      <c r="I469" t="s">
        <v>410</v>
      </c>
      <c r="J469" t="s">
        <v>2037</v>
      </c>
      <c r="K469" t="s">
        <v>2037</v>
      </c>
      <c r="L469" t="s">
        <v>10</v>
      </c>
    </row>
    <row r="470" spans="1:12" ht="16" x14ac:dyDescent="0.2">
      <c r="A470" t="s">
        <v>1939</v>
      </c>
      <c r="B470">
        <v>2399</v>
      </c>
      <c r="C470" s="4">
        <v>96.685000000000002</v>
      </c>
      <c r="D470">
        <v>2.2100000000000102</v>
      </c>
      <c r="E470" t="s">
        <v>10</v>
      </c>
      <c r="F470" t="s">
        <v>10</v>
      </c>
      <c r="G470" t="s">
        <v>10</v>
      </c>
      <c r="H470" t="s">
        <v>409</v>
      </c>
      <c r="I470" t="s">
        <v>410</v>
      </c>
      <c r="J470" t="s">
        <v>2037</v>
      </c>
      <c r="K470" t="s">
        <v>2037</v>
      </c>
      <c r="L470" t="s">
        <v>10</v>
      </c>
    </row>
    <row r="471" spans="1:12" ht="16" x14ac:dyDescent="0.2">
      <c r="A471" t="s">
        <v>1857</v>
      </c>
      <c r="B471">
        <v>2284</v>
      </c>
      <c r="C471" s="4">
        <v>96.685000000000002</v>
      </c>
      <c r="D471">
        <v>0.55200000000000704</v>
      </c>
      <c r="E471" t="s">
        <v>10</v>
      </c>
      <c r="F471" t="s">
        <v>10</v>
      </c>
      <c r="G471" t="s">
        <v>10</v>
      </c>
      <c r="H471" t="s">
        <v>24</v>
      </c>
      <c r="I471" t="s">
        <v>25</v>
      </c>
      <c r="J471" t="s">
        <v>2037</v>
      </c>
      <c r="K471" t="s">
        <v>2037</v>
      </c>
      <c r="L471" t="s">
        <v>10</v>
      </c>
    </row>
    <row r="472" spans="1:12" ht="16" x14ac:dyDescent="0.2">
      <c r="A472" t="s">
        <v>1970</v>
      </c>
      <c r="B472">
        <v>2491</v>
      </c>
      <c r="C472" s="4">
        <v>96.685000000000002</v>
      </c>
      <c r="D472">
        <v>96.685000000000002</v>
      </c>
      <c r="H472" t="s">
        <v>24</v>
      </c>
      <c r="I472" t="s">
        <v>25</v>
      </c>
      <c r="J472" t="s">
        <v>2037</v>
      </c>
      <c r="K472" t="s">
        <v>2037</v>
      </c>
      <c r="L472" t="s">
        <v>10</v>
      </c>
    </row>
    <row r="473" spans="1:12" ht="16" x14ac:dyDescent="0.2">
      <c r="A473" t="s">
        <v>2025</v>
      </c>
      <c r="B473">
        <v>2579</v>
      </c>
      <c r="C473" s="4">
        <v>96.685000000000002</v>
      </c>
      <c r="D473">
        <v>96.685000000000002</v>
      </c>
      <c r="H473" t="s">
        <v>24</v>
      </c>
      <c r="I473" t="s">
        <v>25</v>
      </c>
      <c r="J473" t="s">
        <v>2037</v>
      </c>
      <c r="K473" t="s">
        <v>2037</v>
      </c>
      <c r="L473" t="s">
        <v>10</v>
      </c>
    </row>
    <row r="474" spans="1:12" ht="16" x14ac:dyDescent="0.2">
      <c r="A474" t="s">
        <v>1887</v>
      </c>
      <c r="B474">
        <v>2317</v>
      </c>
      <c r="C474" s="4">
        <v>96.685000000000002</v>
      </c>
      <c r="D474">
        <v>0</v>
      </c>
      <c r="E474" t="s">
        <v>10</v>
      </c>
      <c r="F474" t="s">
        <v>1600</v>
      </c>
      <c r="G474" t="s">
        <v>1601</v>
      </c>
      <c r="H474" t="s">
        <v>142</v>
      </c>
      <c r="I474" t="s">
        <v>143</v>
      </c>
      <c r="J474" t="s">
        <v>2038</v>
      </c>
      <c r="L474" t="s">
        <v>10</v>
      </c>
    </row>
    <row r="475" spans="1:12" ht="16" x14ac:dyDescent="0.2">
      <c r="A475" t="s">
        <v>2031</v>
      </c>
      <c r="B475">
        <v>2593</v>
      </c>
      <c r="C475" s="4">
        <v>96.685000000000002</v>
      </c>
      <c r="D475">
        <v>0.55200000000000704</v>
      </c>
      <c r="E475" t="s">
        <v>10</v>
      </c>
      <c r="F475" t="s">
        <v>10</v>
      </c>
      <c r="G475" t="s">
        <v>2032</v>
      </c>
      <c r="H475" t="s">
        <v>11</v>
      </c>
      <c r="I475" t="s">
        <v>1747</v>
      </c>
      <c r="J475" t="s">
        <v>2038</v>
      </c>
      <c r="L475" t="s">
        <v>10</v>
      </c>
    </row>
    <row r="476" spans="1:12" ht="16" x14ac:dyDescent="0.2">
      <c r="A476" t="s">
        <v>709</v>
      </c>
      <c r="B476">
        <v>713</v>
      </c>
      <c r="C476" s="4">
        <v>96.685000000000002</v>
      </c>
      <c r="D476">
        <v>1.8000000000000699E-2</v>
      </c>
      <c r="E476" t="s">
        <v>431</v>
      </c>
      <c r="F476" t="s">
        <v>710</v>
      </c>
      <c r="G476" t="s">
        <v>711</v>
      </c>
      <c r="H476" t="s">
        <v>34</v>
      </c>
      <c r="I476" t="s">
        <v>35</v>
      </c>
      <c r="J476" t="s">
        <v>2038</v>
      </c>
      <c r="L476" t="s">
        <v>10</v>
      </c>
    </row>
    <row r="477" spans="1:12" ht="16" x14ac:dyDescent="0.2">
      <c r="A477" t="s">
        <v>811</v>
      </c>
      <c r="B477">
        <v>875</v>
      </c>
      <c r="C477" s="4">
        <v>96.703000000000003</v>
      </c>
      <c r="D477">
        <v>0.92799999999999705</v>
      </c>
      <c r="E477" t="s">
        <v>198</v>
      </c>
      <c r="F477" t="s">
        <v>812</v>
      </c>
      <c r="G477" t="s">
        <v>813</v>
      </c>
      <c r="H477" t="s">
        <v>815</v>
      </c>
      <c r="I477" t="s">
        <v>816</v>
      </c>
      <c r="J477" t="s">
        <v>2038</v>
      </c>
      <c r="K477" t="s">
        <v>2038</v>
      </c>
      <c r="L477" t="s">
        <v>2040</v>
      </c>
    </row>
    <row r="478" spans="1:12" ht="16" x14ac:dyDescent="0.2">
      <c r="A478" t="s">
        <v>729</v>
      </c>
      <c r="B478">
        <v>746</v>
      </c>
      <c r="C478" s="4">
        <v>96.814999999999998</v>
      </c>
      <c r="D478">
        <v>0.126000000000005</v>
      </c>
      <c r="E478" t="s">
        <v>11</v>
      </c>
      <c r="F478" t="s">
        <v>11</v>
      </c>
      <c r="G478" t="s">
        <v>730</v>
      </c>
      <c r="H478" t="s">
        <v>731</v>
      </c>
      <c r="I478" t="s">
        <v>732</v>
      </c>
      <c r="J478" t="s">
        <v>2038</v>
      </c>
      <c r="K478" t="s">
        <v>2038</v>
      </c>
      <c r="L478" t="s">
        <v>10</v>
      </c>
    </row>
    <row r="479" spans="1:12" ht="16" x14ac:dyDescent="0.2">
      <c r="A479" t="s">
        <v>841</v>
      </c>
      <c r="B479">
        <v>900</v>
      </c>
      <c r="C479" s="4">
        <v>96.914000000000001</v>
      </c>
      <c r="D479">
        <v>3.0590000000000002</v>
      </c>
      <c r="E479" t="s">
        <v>10</v>
      </c>
      <c r="F479" t="s">
        <v>726</v>
      </c>
      <c r="G479" t="s">
        <v>727</v>
      </c>
      <c r="H479" t="s">
        <v>368</v>
      </c>
      <c r="I479" t="s">
        <v>367</v>
      </c>
      <c r="J479" t="s">
        <v>2038</v>
      </c>
      <c r="K479" t="s">
        <v>2038</v>
      </c>
      <c r="L479" t="s">
        <v>10</v>
      </c>
    </row>
    <row r="480" spans="1:12" ht="16" x14ac:dyDescent="0.2">
      <c r="A480" t="s">
        <v>1313</v>
      </c>
      <c r="B480">
        <v>1561</v>
      </c>
      <c r="C480" s="4">
        <v>96.97</v>
      </c>
      <c r="D480">
        <v>96.97</v>
      </c>
      <c r="H480" t="str">
        <f>LEFT(I480, FIND(" sp.", I480) - 1)</f>
        <v>Coleoptera</v>
      </c>
      <c r="I480" t="s">
        <v>1314</v>
      </c>
      <c r="J480" t="s">
        <v>2038</v>
      </c>
      <c r="K480" t="s">
        <v>2038</v>
      </c>
      <c r="L480" t="s">
        <v>10</v>
      </c>
    </row>
    <row r="481" spans="1:12" ht="16" x14ac:dyDescent="0.2">
      <c r="A481" t="s">
        <v>1731</v>
      </c>
      <c r="B481">
        <v>2150</v>
      </c>
      <c r="C481" s="4">
        <v>96.97</v>
      </c>
      <c r="D481">
        <v>96.97</v>
      </c>
      <c r="H481" t="str">
        <f>LEFT(I481, FIND(" sp.", I481) - 1)</f>
        <v>Coleoptera</v>
      </c>
      <c r="I481" t="s">
        <v>1314</v>
      </c>
      <c r="J481" t="s">
        <v>2038</v>
      </c>
      <c r="K481" t="s">
        <v>2038</v>
      </c>
      <c r="L481" t="s">
        <v>10</v>
      </c>
    </row>
    <row r="482" spans="1:12" ht="16" x14ac:dyDescent="0.2">
      <c r="A482" t="s">
        <v>1855</v>
      </c>
      <c r="B482">
        <v>2281</v>
      </c>
      <c r="C482" s="4">
        <v>96.97</v>
      </c>
      <c r="D482">
        <v>3.4220000000000002</v>
      </c>
      <c r="E482" t="s">
        <v>757</v>
      </c>
      <c r="F482" t="s">
        <v>758</v>
      </c>
      <c r="G482" t="s">
        <v>1856</v>
      </c>
      <c r="H482" t="str">
        <f>LEFT(I482, FIND(" sp.", I482) - 1)</f>
        <v>Coleoptera</v>
      </c>
      <c r="I482" t="s">
        <v>1314</v>
      </c>
      <c r="J482" t="s">
        <v>2038</v>
      </c>
      <c r="K482" t="s">
        <v>2038</v>
      </c>
      <c r="L482" t="s">
        <v>10</v>
      </c>
    </row>
    <row r="483" spans="1:12" ht="16" x14ac:dyDescent="0.2">
      <c r="A483" t="s">
        <v>265</v>
      </c>
      <c r="B483">
        <v>187</v>
      </c>
      <c r="C483" s="4">
        <v>97.058999999999997</v>
      </c>
      <c r="D483">
        <v>4.2880000000000003</v>
      </c>
      <c r="E483" t="s">
        <v>266</v>
      </c>
      <c r="F483" t="s">
        <v>267</v>
      </c>
      <c r="G483" t="s">
        <v>268</v>
      </c>
      <c r="H483" t="s">
        <v>269</v>
      </c>
      <c r="I483" t="s">
        <v>270</v>
      </c>
      <c r="J483" t="s">
        <v>2038</v>
      </c>
      <c r="K483" t="s">
        <v>2038</v>
      </c>
      <c r="L483" t="s">
        <v>2040</v>
      </c>
    </row>
    <row r="484" spans="1:12" ht="16" x14ac:dyDescent="0.2">
      <c r="A484" t="s">
        <v>1366</v>
      </c>
      <c r="B484">
        <v>1616</v>
      </c>
      <c r="C484" s="4">
        <v>97.058999999999997</v>
      </c>
      <c r="D484">
        <v>97.058999999999997</v>
      </c>
      <c r="H484" t="s">
        <v>655</v>
      </c>
      <c r="I484" t="s">
        <v>656</v>
      </c>
      <c r="J484" t="s">
        <v>2038</v>
      </c>
      <c r="K484" t="s">
        <v>2038</v>
      </c>
      <c r="L484" t="s">
        <v>10</v>
      </c>
    </row>
    <row r="485" spans="1:12" ht="16" x14ac:dyDescent="0.2">
      <c r="A485" t="s">
        <v>654</v>
      </c>
      <c r="B485">
        <v>659</v>
      </c>
      <c r="C485" s="4">
        <v>97.058999999999997</v>
      </c>
      <c r="D485">
        <v>97.058999999999997</v>
      </c>
      <c r="H485" t="s">
        <v>655</v>
      </c>
      <c r="I485" t="s">
        <v>656</v>
      </c>
      <c r="J485" t="s">
        <v>2038</v>
      </c>
      <c r="K485" t="s">
        <v>2038</v>
      </c>
      <c r="L485" t="s">
        <v>10</v>
      </c>
    </row>
    <row r="486" spans="1:12" ht="16" x14ac:dyDescent="0.2">
      <c r="A486" t="s">
        <v>1946</v>
      </c>
      <c r="B486">
        <v>2411</v>
      </c>
      <c r="C486" s="4">
        <v>97.159000000000006</v>
      </c>
      <c r="D486">
        <v>97.159000000000006</v>
      </c>
      <c r="H486" t="s">
        <v>176</v>
      </c>
      <c r="I486" t="s">
        <v>264</v>
      </c>
      <c r="J486" t="s">
        <v>2038</v>
      </c>
      <c r="K486" t="s">
        <v>2038</v>
      </c>
      <c r="L486" t="s">
        <v>10</v>
      </c>
    </row>
    <row r="487" spans="1:12" ht="16" x14ac:dyDescent="0.2">
      <c r="A487" t="s">
        <v>1966</v>
      </c>
      <c r="B487">
        <v>2472</v>
      </c>
      <c r="C487" s="4">
        <v>97.159000000000006</v>
      </c>
      <c r="D487">
        <v>0.56800000000001205</v>
      </c>
      <c r="E487" t="s">
        <v>33</v>
      </c>
      <c r="F487" t="s">
        <v>1059</v>
      </c>
      <c r="G487" t="s">
        <v>1060</v>
      </c>
      <c r="H487" t="s">
        <v>37</v>
      </c>
      <c r="I487" t="s">
        <v>38</v>
      </c>
      <c r="J487" t="s">
        <v>2038</v>
      </c>
      <c r="K487" t="s">
        <v>2038</v>
      </c>
      <c r="L487" t="s">
        <v>10</v>
      </c>
    </row>
    <row r="488" spans="1:12" ht="16" x14ac:dyDescent="0.2">
      <c r="A488" t="s">
        <v>1793</v>
      </c>
      <c r="B488">
        <v>2207</v>
      </c>
      <c r="C488" s="4">
        <v>97.174999999999997</v>
      </c>
      <c r="D488">
        <v>0</v>
      </c>
      <c r="E488" t="s">
        <v>10</v>
      </c>
      <c r="F488" t="s">
        <v>10</v>
      </c>
      <c r="H488" t="str">
        <f>LEFT(I488, FIND(" sp.", I488) - 1)</f>
        <v>Pimplinae</v>
      </c>
      <c r="I488" t="s">
        <v>1794</v>
      </c>
      <c r="J488" t="s">
        <v>2038</v>
      </c>
      <c r="K488" t="s">
        <v>2038</v>
      </c>
      <c r="L488" t="s">
        <v>10</v>
      </c>
    </row>
    <row r="489" spans="1:12" ht="16" x14ac:dyDescent="0.2">
      <c r="A489" t="s">
        <v>1981</v>
      </c>
      <c r="B489">
        <v>2516</v>
      </c>
      <c r="C489" s="4">
        <v>97.174999999999997</v>
      </c>
      <c r="D489">
        <v>1.5999999999991101E-2</v>
      </c>
      <c r="E489" t="s">
        <v>10</v>
      </c>
      <c r="F489" t="s">
        <v>10</v>
      </c>
      <c r="G489" t="s">
        <v>1982</v>
      </c>
      <c r="H489" t="s">
        <v>1304</v>
      </c>
      <c r="I489" t="s">
        <v>1983</v>
      </c>
      <c r="J489" t="s">
        <v>2038</v>
      </c>
      <c r="K489" t="s">
        <v>2038</v>
      </c>
    </row>
    <row r="490" spans="1:12" ht="16" x14ac:dyDescent="0.2">
      <c r="A490" t="s">
        <v>1952</v>
      </c>
      <c r="B490">
        <v>2418</v>
      </c>
      <c r="C490" s="4">
        <v>97.221999999999994</v>
      </c>
      <c r="D490">
        <v>1.50000000000006E-2</v>
      </c>
      <c r="E490" t="s">
        <v>10</v>
      </c>
      <c r="F490" t="s">
        <v>1598</v>
      </c>
      <c r="G490" t="s">
        <v>1599</v>
      </c>
      <c r="H490" t="s">
        <v>1600</v>
      </c>
      <c r="I490" t="s">
        <v>1601</v>
      </c>
      <c r="J490" t="s">
        <v>2038</v>
      </c>
      <c r="K490" t="s">
        <v>2038</v>
      </c>
      <c r="L490" t="s">
        <v>2040</v>
      </c>
    </row>
    <row r="491" spans="1:12" ht="16" x14ac:dyDescent="0.2">
      <c r="A491" t="s">
        <v>1537</v>
      </c>
      <c r="B491">
        <v>1887</v>
      </c>
      <c r="C491" s="4">
        <v>97.221999999999994</v>
      </c>
      <c r="D491">
        <v>1.6659999999999999</v>
      </c>
      <c r="E491" t="s">
        <v>10</v>
      </c>
      <c r="F491" t="s">
        <v>10</v>
      </c>
      <c r="G491" t="s">
        <v>10</v>
      </c>
      <c r="H491" t="s">
        <v>310</v>
      </c>
      <c r="I491" t="s">
        <v>311</v>
      </c>
      <c r="J491" t="s">
        <v>2038</v>
      </c>
      <c r="K491" t="s">
        <v>2038</v>
      </c>
      <c r="L491" t="s">
        <v>10</v>
      </c>
    </row>
    <row r="492" spans="1:12" ht="16" x14ac:dyDescent="0.2">
      <c r="A492" t="s">
        <v>379</v>
      </c>
      <c r="B492">
        <v>297</v>
      </c>
      <c r="C492" s="4">
        <v>97.221999999999994</v>
      </c>
      <c r="D492">
        <v>0</v>
      </c>
      <c r="E492" t="s">
        <v>36</v>
      </c>
      <c r="F492" t="s">
        <v>380</v>
      </c>
      <c r="G492" t="s">
        <v>381</v>
      </c>
      <c r="H492" t="s">
        <v>382</v>
      </c>
      <c r="I492" t="s">
        <v>383</v>
      </c>
      <c r="J492" t="s">
        <v>2038</v>
      </c>
      <c r="K492" t="s">
        <v>2038</v>
      </c>
      <c r="L492" t="s">
        <v>10</v>
      </c>
    </row>
    <row r="493" spans="1:12" ht="16" x14ac:dyDescent="0.2">
      <c r="A493" t="s">
        <v>1461</v>
      </c>
      <c r="B493">
        <v>1799</v>
      </c>
      <c r="C493" s="4">
        <v>97.221999999999994</v>
      </c>
      <c r="D493">
        <v>0</v>
      </c>
      <c r="E493" t="s">
        <v>10</v>
      </c>
      <c r="F493" t="s">
        <v>10</v>
      </c>
      <c r="G493" t="s">
        <v>761</v>
      </c>
      <c r="H493" t="s">
        <v>176</v>
      </c>
      <c r="I493" t="s">
        <v>762</v>
      </c>
      <c r="J493" t="s">
        <v>2038</v>
      </c>
      <c r="K493" t="s">
        <v>2038</v>
      </c>
      <c r="L493" t="s">
        <v>10</v>
      </c>
    </row>
    <row r="494" spans="1:12" ht="16" x14ac:dyDescent="0.2">
      <c r="A494" t="s">
        <v>1364</v>
      </c>
      <c r="B494">
        <v>1614</v>
      </c>
      <c r="C494" s="4">
        <v>97.221999999999994</v>
      </c>
      <c r="D494">
        <v>0</v>
      </c>
      <c r="E494" t="s">
        <v>10</v>
      </c>
      <c r="F494" t="s">
        <v>10</v>
      </c>
      <c r="G494" t="s">
        <v>40</v>
      </c>
      <c r="H494" t="str">
        <f>LEFT(I494, FIND(" sp.", I494) - 1)</f>
        <v>Lepidopsocidae</v>
      </c>
      <c r="I494" t="s">
        <v>41</v>
      </c>
      <c r="J494" t="s">
        <v>2038</v>
      </c>
      <c r="K494" t="s">
        <v>2038</v>
      </c>
      <c r="L494" t="s">
        <v>10</v>
      </c>
    </row>
    <row r="495" spans="1:12" ht="16" x14ac:dyDescent="0.2">
      <c r="A495" t="s">
        <v>1958</v>
      </c>
      <c r="B495">
        <v>2455</v>
      </c>
      <c r="C495" s="4">
        <v>97.221999999999994</v>
      </c>
      <c r="D495">
        <v>7.8999999999993506E-2</v>
      </c>
      <c r="E495" t="s">
        <v>10</v>
      </c>
      <c r="F495" t="s">
        <v>10</v>
      </c>
      <c r="G495" t="s">
        <v>10</v>
      </c>
      <c r="H495" t="s">
        <v>1959</v>
      </c>
      <c r="I495" t="s">
        <v>1960</v>
      </c>
      <c r="J495" t="s">
        <v>2038</v>
      </c>
      <c r="K495" t="s">
        <v>2038</v>
      </c>
      <c r="L495" t="s">
        <v>10</v>
      </c>
    </row>
    <row r="496" spans="1:12" ht="16" x14ac:dyDescent="0.2">
      <c r="A496" t="s">
        <v>1773</v>
      </c>
      <c r="B496">
        <v>2185</v>
      </c>
      <c r="C496" s="4">
        <v>97.221999999999994</v>
      </c>
      <c r="D496">
        <v>0.55499999999999305</v>
      </c>
      <c r="E496" t="s">
        <v>10</v>
      </c>
      <c r="F496" t="s">
        <v>1774</v>
      </c>
      <c r="G496" t="s">
        <v>1775</v>
      </c>
      <c r="H496" t="s">
        <v>1776</v>
      </c>
      <c r="I496" t="s">
        <v>1777</v>
      </c>
      <c r="J496" t="s">
        <v>2038</v>
      </c>
      <c r="K496" t="s">
        <v>2038</v>
      </c>
      <c r="L496" t="s">
        <v>10</v>
      </c>
    </row>
    <row r="497" spans="1:12" ht="16" x14ac:dyDescent="0.2">
      <c r="A497" t="s">
        <v>1440</v>
      </c>
      <c r="B497">
        <v>1755</v>
      </c>
      <c r="C497" s="4">
        <v>97.221999999999994</v>
      </c>
      <c r="D497">
        <v>1.11099999999999</v>
      </c>
      <c r="E497" t="s">
        <v>10</v>
      </c>
      <c r="F497" t="s">
        <v>10</v>
      </c>
      <c r="G497" t="s">
        <v>10</v>
      </c>
      <c r="H497" t="s">
        <v>334</v>
      </c>
      <c r="I497" t="s">
        <v>335</v>
      </c>
      <c r="J497" t="s">
        <v>2038</v>
      </c>
      <c r="K497" t="s">
        <v>2038</v>
      </c>
      <c r="L497" t="s">
        <v>10</v>
      </c>
    </row>
    <row r="498" spans="1:12" ht="16" x14ac:dyDescent="0.2">
      <c r="A498" t="s">
        <v>836</v>
      </c>
      <c r="B498">
        <v>898</v>
      </c>
      <c r="C498" s="4">
        <v>97.221999999999994</v>
      </c>
      <c r="D498">
        <v>0</v>
      </c>
      <c r="E498" t="s">
        <v>33</v>
      </c>
      <c r="F498" t="s">
        <v>837</v>
      </c>
      <c r="G498" t="s">
        <v>838</v>
      </c>
      <c r="H498" t="s">
        <v>839</v>
      </c>
      <c r="I498" t="s">
        <v>840</v>
      </c>
      <c r="J498" t="s">
        <v>2038</v>
      </c>
      <c r="K498" t="s">
        <v>2038</v>
      </c>
    </row>
    <row r="499" spans="1:12" ht="16" x14ac:dyDescent="0.2">
      <c r="A499" t="s">
        <v>777</v>
      </c>
      <c r="B499">
        <v>827</v>
      </c>
      <c r="C499" s="4">
        <v>97.238</v>
      </c>
      <c r="D499">
        <v>0.55299999999999705</v>
      </c>
      <c r="E499" t="s">
        <v>778</v>
      </c>
      <c r="F499" t="s">
        <v>779</v>
      </c>
      <c r="G499" t="s">
        <v>780</v>
      </c>
      <c r="H499" t="s">
        <v>781</v>
      </c>
      <c r="I499" t="s">
        <v>782</v>
      </c>
      <c r="J499" t="s">
        <v>2038</v>
      </c>
      <c r="K499" t="s">
        <v>2038</v>
      </c>
      <c r="L499" t="s">
        <v>2040</v>
      </c>
    </row>
    <row r="500" spans="1:12" ht="16" x14ac:dyDescent="0.2">
      <c r="A500" t="s">
        <v>682</v>
      </c>
      <c r="B500">
        <v>686</v>
      </c>
      <c r="C500" s="4">
        <v>97.238</v>
      </c>
      <c r="D500">
        <v>0.55299999999999705</v>
      </c>
      <c r="E500" t="s">
        <v>683</v>
      </c>
      <c r="F500" t="s">
        <v>684</v>
      </c>
      <c r="G500" t="s">
        <v>685</v>
      </c>
      <c r="H500" t="s">
        <v>2041</v>
      </c>
      <c r="I500" t="s">
        <v>686</v>
      </c>
      <c r="J500" t="s">
        <v>2038</v>
      </c>
      <c r="K500" t="s">
        <v>2038</v>
      </c>
      <c r="L500" t="s">
        <v>2040</v>
      </c>
    </row>
    <row r="501" spans="1:12" ht="16" x14ac:dyDescent="0.2">
      <c r="A501" t="s">
        <v>1188</v>
      </c>
      <c r="B501">
        <v>1423</v>
      </c>
      <c r="C501" s="4">
        <v>97.238</v>
      </c>
      <c r="D501">
        <v>1.6000000000005302E-2</v>
      </c>
      <c r="E501" t="s">
        <v>255</v>
      </c>
      <c r="F501" t="s">
        <v>344</v>
      </c>
      <c r="G501" t="s">
        <v>345</v>
      </c>
      <c r="H501" t="s">
        <v>346</v>
      </c>
      <c r="I501" t="s">
        <v>347</v>
      </c>
      <c r="J501" t="s">
        <v>2038</v>
      </c>
      <c r="K501" t="s">
        <v>2038</v>
      </c>
      <c r="L501" t="s">
        <v>10</v>
      </c>
    </row>
    <row r="502" spans="1:12" ht="16" x14ac:dyDescent="0.2">
      <c r="A502" t="s">
        <v>1611</v>
      </c>
      <c r="B502">
        <v>1977</v>
      </c>
      <c r="C502" s="4">
        <v>97.238</v>
      </c>
      <c r="D502">
        <v>0</v>
      </c>
      <c r="E502" t="s">
        <v>10</v>
      </c>
      <c r="F502" t="s">
        <v>1612</v>
      </c>
      <c r="G502" t="s">
        <v>1613</v>
      </c>
      <c r="H502" t="s">
        <v>495</v>
      </c>
      <c r="I502" t="s">
        <v>496</v>
      </c>
      <c r="J502" t="s">
        <v>2038</v>
      </c>
      <c r="K502" t="s">
        <v>2038</v>
      </c>
      <c r="L502" t="s">
        <v>10</v>
      </c>
    </row>
    <row r="503" spans="1:12" ht="16" x14ac:dyDescent="0.2">
      <c r="A503" t="s">
        <v>1980</v>
      </c>
      <c r="B503">
        <v>2513</v>
      </c>
      <c r="C503" s="4">
        <v>97.238</v>
      </c>
      <c r="D503">
        <v>0</v>
      </c>
      <c r="E503" t="s">
        <v>10</v>
      </c>
      <c r="F503" t="s">
        <v>1612</v>
      </c>
      <c r="G503" t="s">
        <v>1613</v>
      </c>
      <c r="H503" t="s">
        <v>495</v>
      </c>
      <c r="I503" t="s">
        <v>496</v>
      </c>
      <c r="J503" t="s">
        <v>2038</v>
      </c>
      <c r="K503" t="s">
        <v>2038</v>
      </c>
      <c r="L503" t="s">
        <v>10</v>
      </c>
    </row>
    <row r="504" spans="1:12" ht="16" x14ac:dyDescent="0.2">
      <c r="A504" t="s">
        <v>1288</v>
      </c>
      <c r="B504">
        <v>1546</v>
      </c>
      <c r="C504" s="4">
        <v>97.238</v>
      </c>
      <c r="D504">
        <v>1.6000000000005302E-2</v>
      </c>
      <c r="E504" t="s">
        <v>225</v>
      </c>
      <c r="F504" t="s">
        <v>1289</v>
      </c>
      <c r="G504" t="s">
        <v>1290</v>
      </c>
      <c r="H504" t="str">
        <f>LEFT(I504, FIND(" sp.", I504) - 1)</f>
        <v>Lepidoptera</v>
      </c>
      <c r="I504" t="s">
        <v>1291</v>
      </c>
      <c r="J504" t="s">
        <v>2038</v>
      </c>
      <c r="K504" t="s">
        <v>2038</v>
      </c>
      <c r="L504" t="s">
        <v>10</v>
      </c>
    </row>
    <row r="505" spans="1:12" ht="16" x14ac:dyDescent="0.2">
      <c r="A505" t="s">
        <v>2035</v>
      </c>
      <c r="B505">
        <v>2602</v>
      </c>
      <c r="C505" s="4">
        <v>97.238</v>
      </c>
      <c r="D505">
        <v>1.6000000000005302E-2</v>
      </c>
      <c r="E505" t="s">
        <v>10</v>
      </c>
      <c r="F505" t="s">
        <v>10</v>
      </c>
      <c r="G505" t="s">
        <v>1303</v>
      </c>
      <c r="H505" t="s">
        <v>1304</v>
      </c>
      <c r="I505" t="s">
        <v>1305</v>
      </c>
      <c r="J505" t="s">
        <v>2038</v>
      </c>
      <c r="K505" t="s">
        <v>2038</v>
      </c>
      <c r="L505" t="s">
        <v>10</v>
      </c>
    </row>
    <row r="506" spans="1:12" ht="16" x14ac:dyDescent="0.2">
      <c r="A506" t="s">
        <v>312</v>
      </c>
      <c r="B506">
        <v>224</v>
      </c>
      <c r="C506" s="4">
        <v>97.238</v>
      </c>
      <c r="D506">
        <v>5.7129999999999903</v>
      </c>
      <c r="E506" t="s">
        <v>221</v>
      </c>
      <c r="F506" t="s">
        <v>313</v>
      </c>
      <c r="G506" t="s">
        <v>314</v>
      </c>
      <c r="H506" t="s">
        <v>316</v>
      </c>
      <c r="I506" t="s">
        <v>317</v>
      </c>
      <c r="J506" t="s">
        <v>2038</v>
      </c>
      <c r="K506" t="s">
        <v>2038</v>
      </c>
      <c r="L506" t="s">
        <v>10</v>
      </c>
    </row>
    <row r="507" spans="1:12" ht="16" x14ac:dyDescent="0.2">
      <c r="A507" t="s">
        <v>1744</v>
      </c>
      <c r="B507">
        <v>2169</v>
      </c>
      <c r="C507" s="4">
        <v>97.238</v>
      </c>
      <c r="D507">
        <v>1.105</v>
      </c>
      <c r="E507" t="s">
        <v>10</v>
      </c>
      <c r="F507" t="s">
        <v>1745</v>
      </c>
      <c r="G507" t="s">
        <v>1746</v>
      </c>
      <c r="H507" t="str">
        <f>LEFT(I507, FIND(" sp.", I507) - 1)</f>
        <v>Sciaridae</v>
      </c>
      <c r="I507" t="s">
        <v>1747</v>
      </c>
      <c r="J507" t="s">
        <v>2038</v>
      </c>
      <c r="K507" t="s">
        <v>2038</v>
      </c>
      <c r="L507" t="s">
        <v>10</v>
      </c>
    </row>
    <row r="508" spans="1:12" ht="16" x14ac:dyDescent="0.2">
      <c r="A508" t="s">
        <v>928</v>
      </c>
      <c r="B508">
        <v>1036</v>
      </c>
      <c r="C508" s="4">
        <v>97.238</v>
      </c>
      <c r="D508">
        <v>0.55299999999999705</v>
      </c>
      <c r="E508" t="s">
        <v>10</v>
      </c>
      <c r="F508" t="s">
        <v>10</v>
      </c>
      <c r="G508" t="s">
        <v>10</v>
      </c>
      <c r="H508" t="s">
        <v>37</v>
      </c>
      <c r="I508" t="s">
        <v>38</v>
      </c>
      <c r="J508" t="s">
        <v>2038</v>
      </c>
      <c r="K508" t="s">
        <v>2038</v>
      </c>
      <c r="L508" t="s">
        <v>10</v>
      </c>
    </row>
    <row r="509" spans="1:12" ht="16" x14ac:dyDescent="0.2">
      <c r="A509" t="s">
        <v>32</v>
      </c>
      <c r="B509">
        <v>17</v>
      </c>
      <c r="C509" s="4">
        <v>97.238</v>
      </c>
      <c r="D509">
        <v>0.55299999999999705</v>
      </c>
      <c r="E509" t="s">
        <v>33</v>
      </c>
      <c r="F509" t="s">
        <v>34</v>
      </c>
      <c r="G509" t="s">
        <v>35</v>
      </c>
      <c r="H509" t="s">
        <v>37</v>
      </c>
      <c r="I509" t="s">
        <v>38</v>
      </c>
      <c r="J509" t="s">
        <v>2038</v>
      </c>
      <c r="K509" t="s">
        <v>2038</v>
      </c>
      <c r="L509" t="s">
        <v>10</v>
      </c>
    </row>
    <row r="510" spans="1:12" ht="16" x14ac:dyDescent="0.2">
      <c r="A510" t="s">
        <v>505</v>
      </c>
      <c r="B510">
        <v>482</v>
      </c>
      <c r="C510" s="4">
        <v>97.238</v>
      </c>
      <c r="D510">
        <v>1.6000000000005302E-2</v>
      </c>
      <c r="E510" t="s">
        <v>11</v>
      </c>
      <c r="F510" t="s">
        <v>11</v>
      </c>
      <c r="G510" t="s">
        <v>506</v>
      </c>
      <c r="H510" t="s">
        <v>37</v>
      </c>
      <c r="I510" t="s">
        <v>38</v>
      </c>
      <c r="J510" t="s">
        <v>2038</v>
      </c>
      <c r="K510" t="s">
        <v>2038</v>
      </c>
      <c r="L510" t="s">
        <v>10</v>
      </c>
    </row>
    <row r="511" spans="1:12" ht="16" x14ac:dyDescent="0.2">
      <c r="A511" t="s">
        <v>1047</v>
      </c>
      <c r="B511">
        <v>1233</v>
      </c>
      <c r="C511" s="4">
        <v>97.238</v>
      </c>
      <c r="D511">
        <v>0</v>
      </c>
      <c r="E511" t="s">
        <v>10</v>
      </c>
      <c r="F511" t="s">
        <v>10</v>
      </c>
      <c r="G511" t="s">
        <v>148</v>
      </c>
      <c r="H511" t="s">
        <v>149</v>
      </c>
      <c r="I511" t="s">
        <v>150</v>
      </c>
      <c r="J511" t="s">
        <v>2038</v>
      </c>
      <c r="K511" t="s">
        <v>2038</v>
      </c>
      <c r="L511" t="s">
        <v>10</v>
      </c>
    </row>
    <row r="512" spans="1:12" ht="16" x14ac:dyDescent="0.2">
      <c r="A512" t="s">
        <v>1312</v>
      </c>
      <c r="B512">
        <v>1560</v>
      </c>
      <c r="C512" s="4">
        <v>97.238</v>
      </c>
      <c r="D512">
        <v>0</v>
      </c>
      <c r="E512" t="s">
        <v>10</v>
      </c>
      <c r="F512" t="s">
        <v>10</v>
      </c>
      <c r="G512" t="s">
        <v>148</v>
      </c>
      <c r="H512" t="s">
        <v>149</v>
      </c>
      <c r="I512" t="s">
        <v>150</v>
      </c>
      <c r="J512" t="s">
        <v>2038</v>
      </c>
      <c r="K512" t="s">
        <v>2038</v>
      </c>
      <c r="L512" t="s">
        <v>10</v>
      </c>
    </row>
    <row r="513" spans="1:12" ht="16" x14ac:dyDescent="0.2">
      <c r="A513" t="s">
        <v>741</v>
      </c>
      <c r="B513">
        <v>761</v>
      </c>
      <c r="C513" s="4">
        <v>97.238</v>
      </c>
      <c r="D513">
        <v>0</v>
      </c>
      <c r="E513" t="s">
        <v>10</v>
      </c>
      <c r="F513" t="s">
        <v>10</v>
      </c>
      <c r="G513" t="s">
        <v>148</v>
      </c>
      <c r="H513" t="s">
        <v>149</v>
      </c>
      <c r="I513" t="s">
        <v>150</v>
      </c>
      <c r="J513" t="s">
        <v>2038</v>
      </c>
      <c r="K513" t="s">
        <v>2038</v>
      </c>
      <c r="L513" t="s">
        <v>10</v>
      </c>
    </row>
    <row r="514" spans="1:12" ht="16" x14ac:dyDescent="0.2">
      <c r="A514" t="s">
        <v>428</v>
      </c>
      <c r="B514">
        <v>365</v>
      </c>
      <c r="C514" s="4">
        <v>97.238</v>
      </c>
      <c r="D514">
        <v>0</v>
      </c>
      <c r="E514" t="s">
        <v>241</v>
      </c>
      <c r="F514" t="s">
        <v>429</v>
      </c>
      <c r="G514" t="s">
        <v>430</v>
      </c>
      <c r="H514" t="s">
        <v>432</v>
      </c>
      <c r="I514" t="s">
        <v>433</v>
      </c>
      <c r="J514" t="s">
        <v>2038</v>
      </c>
      <c r="K514" t="s">
        <v>2038</v>
      </c>
      <c r="L514" t="s">
        <v>10</v>
      </c>
    </row>
    <row r="515" spans="1:12" ht="16" x14ac:dyDescent="0.2">
      <c r="A515" t="s">
        <v>508</v>
      </c>
      <c r="B515">
        <v>484</v>
      </c>
      <c r="C515" s="4">
        <v>97.238</v>
      </c>
      <c r="D515">
        <v>1.6000000000005302E-2</v>
      </c>
      <c r="E515" t="s">
        <v>10</v>
      </c>
      <c r="F515" t="s">
        <v>10</v>
      </c>
      <c r="G515" t="s">
        <v>10</v>
      </c>
      <c r="H515" t="s">
        <v>12</v>
      </c>
      <c r="I515" t="s">
        <v>13</v>
      </c>
      <c r="J515" t="s">
        <v>2038</v>
      </c>
      <c r="K515" t="s">
        <v>2038</v>
      </c>
      <c r="L515" t="s">
        <v>10</v>
      </c>
    </row>
    <row r="516" spans="1:12" ht="16" x14ac:dyDescent="0.2">
      <c r="A516" t="s">
        <v>929</v>
      </c>
      <c r="B516">
        <v>1045</v>
      </c>
      <c r="C516" s="4">
        <v>97.238</v>
      </c>
      <c r="D516">
        <v>97.238</v>
      </c>
      <c r="H516" t="s">
        <v>12</v>
      </c>
      <c r="I516" t="s">
        <v>930</v>
      </c>
      <c r="J516" t="s">
        <v>2038</v>
      </c>
      <c r="K516" t="s">
        <v>2038</v>
      </c>
      <c r="L516" t="s">
        <v>10</v>
      </c>
    </row>
    <row r="517" spans="1:12" ht="16" x14ac:dyDescent="0.2">
      <c r="A517" t="s">
        <v>1213</v>
      </c>
      <c r="B517">
        <v>1452</v>
      </c>
      <c r="C517" s="4">
        <v>97.238</v>
      </c>
      <c r="D517">
        <v>0.55299999999999705</v>
      </c>
      <c r="E517" t="s">
        <v>431</v>
      </c>
      <c r="F517" t="s">
        <v>1214</v>
      </c>
      <c r="G517" t="s">
        <v>1215</v>
      </c>
      <c r="H517" t="s">
        <v>1216</v>
      </c>
      <c r="I517" t="s">
        <v>1217</v>
      </c>
      <c r="J517" t="s">
        <v>2038</v>
      </c>
      <c r="K517" t="s">
        <v>2038</v>
      </c>
    </row>
    <row r="518" spans="1:12" ht="16" x14ac:dyDescent="0.2">
      <c r="A518" t="s">
        <v>1910</v>
      </c>
      <c r="B518">
        <v>2348</v>
      </c>
      <c r="C518" s="4">
        <v>97.238</v>
      </c>
      <c r="D518">
        <v>97.238</v>
      </c>
      <c r="H518" t="s">
        <v>1911</v>
      </c>
      <c r="I518" t="s">
        <v>1912</v>
      </c>
      <c r="J518" t="s">
        <v>2038</v>
      </c>
      <c r="K518" t="s">
        <v>2038</v>
      </c>
    </row>
    <row r="519" spans="1:12" ht="16" x14ac:dyDescent="0.2">
      <c r="A519" t="s">
        <v>1851</v>
      </c>
      <c r="B519">
        <v>2273</v>
      </c>
      <c r="C519" s="4">
        <v>97.238</v>
      </c>
      <c r="D519">
        <v>5.0160000000000098</v>
      </c>
      <c r="E519" t="s">
        <v>111</v>
      </c>
      <c r="F519" t="s">
        <v>1716</v>
      </c>
      <c r="G519" t="s">
        <v>1852</v>
      </c>
      <c r="H519" t="str">
        <f>LEFT(I519, FIND(" sp.", I519) - 1)</f>
        <v>Mycetophilidae</v>
      </c>
      <c r="I519" t="s">
        <v>1853</v>
      </c>
      <c r="J519" t="s">
        <v>2038</v>
      </c>
      <c r="K519" t="s">
        <v>2038</v>
      </c>
    </row>
    <row r="520" spans="1:12" ht="16" x14ac:dyDescent="0.2">
      <c r="A520" t="s">
        <v>1606</v>
      </c>
      <c r="B520">
        <v>1974</v>
      </c>
      <c r="C520" s="4">
        <v>97.238</v>
      </c>
      <c r="D520">
        <v>1.6000000000005302E-2</v>
      </c>
      <c r="E520" t="s">
        <v>10</v>
      </c>
      <c r="F520" t="s">
        <v>10</v>
      </c>
      <c r="G520" t="s">
        <v>10</v>
      </c>
      <c r="H520" t="s">
        <v>1607</v>
      </c>
      <c r="I520" t="s">
        <v>1608</v>
      </c>
      <c r="J520" t="s">
        <v>2038</v>
      </c>
      <c r="K520" t="s">
        <v>2038</v>
      </c>
    </row>
    <row r="521" spans="1:12" ht="16" x14ac:dyDescent="0.2">
      <c r="A521" t="s">
        <v>1689</v>
      </c>
      <c r="B521">
        <v>2090</v>
      </c>
      <c r="C521" s="4">
        <v>97.238</v>
      </c>
      <c r="D521">
        <v>1.105</v>
      </c>
      <c r="E521" t="s">
        <v>10</v>
      </c>
      <c r="F521" t="s">
        <v>10</v>
      </c>
      <c r="G521" t="s">
        <v>375</v>
      </c>
      <c r="H521" t="s">
        <v>377</v>
      </c>
      <c r="I521" t="s">
        <v>378</v>
      </c>
      <c r="J521" t="s">
        <v>2037</v>
      </c>
      <c r="K521" t="s">
        <v>2037</v>
      </c>
      <c r="L521" t="s">
        <v>10</v>
      </c>
    </row>
    <row r="522" spans="1:12" ht="16" x14ac:dyDescent="0.2">
      <c r="A522" t="s">
        <v>1714</v>
      </c>
      <c r="B522">
        <v>2116</v>
      </c>
      <c r="C522" s="4">
        <v>97.238</v>
      </c>
      <c r="D522">
        <v>3.3149999999999999</v>
      </c>
      <c r="E522" t="s">
        <v>10</v>
      </c>
      <c r="F522" t="s">
        <v>10</v>
      </c>
      <c r="G522" t="s">
        <v>10</v>
      </c>
      <c r="H522" t="s">
        <v>409</v>
      </c>
      <c r="I522" t="s">
        <v>410</v>
      </c>
      <c r="J522" t="s">
        <v>2037</v>
      </c>
      <c r="K522" t="s">
        <v>2037</v>
      </c>
      <c r="L522" t="s">
        <v>10</v>
      </c>
    </row>
    <row r="523" spans="1:12" ht="16" x14ac:dyDescent="0.2">
      <c r="A523" t="s">
        <v>480</v>
      </c>
      <c r="B523">
        <v>426</v>
      </c>
      <c r="C523" s="4">
        <v>97.238</v>
      </c>
      <c r="D523">
        <v>1.6000000000005302E-2</v>
      </c>
      <c r="E523" t="s">
        <v>10</v>
      </c>
      <c r="F523" t="s">
        <v>10</v>
      </c>
      <c r="G523" t="s">
        <v>10</v>
      </c>
      <c r="H523" t="s">
        <v>24</v>
      </c>
      <c r="I523" t="s">
        <v>25</v>
      </c>
      <c r="J523" t="s">
        <v>2037</v>
      </c>
      <c r="K523" t="s">
        <v>2037</v>
      </c>
      <c r="L523" t="s">
        <v>10</v>
      </c>
    </row>
    <row r="524" spans="1:12" ht="16" x14ac:dyDescent="0.2">
      <c r="A524" t="s">
        <v>1401</v>
      </c>
      <c r="B524">
        <v>1671</v>
      </c>
      <c r="C524" s="4">
        <v>97.253</v>
      </c>
      <c r="D524">
        <v>97.253</v>
      </c>
      <c r="H524" t="s">
        <v>815</v>
      </c>
      <c r="I524" t="s">
        <v>816</v>
      </c>
      <c r="J524" t="s">
        <v>2038</v>
      </c>
      <c r="K524" t="s">
        <v>2038</v>
      </c>
      <c r="L524" t="s">
        <v>2040</v>
      </c>
    </row>
    <row r="525" spans="1:12" ht="16" x14ac:dyDescent="0.2">
      <c r="A525" t="s">
        <v>1931</v>
      </c>
      <c r="B525">
        <v>2384</v>
      </c>
      <c r="C525" s="4">
        <v>97.253</v>
      </c>
      <c r="D525">
        <v>4.9449999999999896</v>
      </c>
      <c r="E525" t="s">
        <v>1206</v>
      </c>
      <c r="F525" t="s">
        <v>1207</v>
      </c>
      <c r="G525" t="s">
        <v>1517</v>
      </c>
      <c r="H525" t="s">
        <v>815</v>
      </c>
      <c r="I525" t="s">
        <v>816</v>
      </c>
      <c r="J525" t="s">
        <v>2038</v>
      </c>
      <c r="K525" t="s">
        <v>2038</v>
      </c>
      <c r="L525" t="s">
        <v>2040</v>
      </c>
    </row>
    <row r="526" spans="1:12" ht="16" x14ac:dyDescent="0.2">
      <c r="A526" t="s">
        <v>884</v>
      </c>
      <c r="B526">
        <v>977</v>
      </c>
      <c r="C526" s="4">
        <v>97.278999999999996</v>
      </c>
      <c r="D526">
        <v>4.0999999999996803E-2</v>
      </c>
      <c r="E526" t="s">
        <v>10</v>
      </c>
      <c r="F526" t="s">
        <v>10</v>
      </c>
      <c r="G526" t="s">
        <v>10</v>
      </c>
      <c r="H526" t="s">
        <v>60</v>
      </c>
      <c r="I526" t="s">
        <v>61</v>
      </c>
      <c r="J526" t="s">
        <v>2037</v>
      </c>
      <c r="K526" t="s">
        <v>2037</v>
      </c>
      <c r="L526" t="s">
        <v>2040</v>
      </c>
    </row>
    <row r="527" spans="1:12" ht="16" x14ac:dyDescent="0.2">
      <c r="A527" t="s">
        <v>990</v>
      </c>
      <c r="B527">
        <v>1146</v>
      </c>
      <c r="C527" s="4">
        <v>97.296999999999997</v>
      </c>
      <c r="D527">
        <v>0</v>
      </c>
      <c r="E527" t="s">
        <v>10</v>
      </c>
      <c r="F527" t="s">
        <v>10</v>
      </c>
      <c r="G527" t="s">
        <v>991</v>
      </c>
      <c r="H527" t="s">
        <v>992</v>
      </c>
      <c r="I527" t="s">
        <v>993</v>
      </c>
      <c r="J527" t="s">
        <v>2038</v>
      </c>
      <c r="K527" t="s">
        <v>2038</v>
      </c>
      <c r="L527" t="s">
        <v>10</v>
      </c>
    </row>
    <row r="528" spans="1:12" ht="16" x14ac:dyDescent="0.2">
      <c r="A528" t="s">
        <v>1133</v>
      </c>
      <c r="B528">
        <v>1343</v>
      </c>
      <c r="C528" s="4">
        <v>97.367999999999995</v>
      </c>
      <c r="D528">
        <v>0</v>
      </c>
      <c r="E528" t="s">
        <v>10</v>
      </c>
      <c r="F528" t="s">
        <v>10</v>
      </c>
      <c r="G528" t="s">
        <v>1134</v>
      </c>
      <c r="H528" t="s">
        <v>1012</v>
      </c>
      <c r="I528" t="s">
        <v>1135</v>
      </c>
      <c r="J528" t="s">
        <v>2038</v>
      </c>
      <c r="K528" t="s">
        <v>2038</v>
      </c>
    </row>
    <row r="529" spans="1:12" ht="16" x14ac:dyDescent="0.2">
      <c r="A529" t="s">
        <v>1010</v>
      </c>
      <c r="B529">
        <v>1176</v>
      </c>
      <c r="C529" s="4">
        <v>97.367999999999995</v>
      </c>
      <c r="D529">
        <v>0</v>
      </c>
      <c r="E529" t="s">
        <v>10</v>
      </c>
      <c r="F529" t="s">
        <v>10</v>
      </c>
      <c r="G529" t="s">
        <v>1011</v>
      </c>
      <c r="H529" t="s">
        <v>1012</v>
      </c>
      <c r="I529" t="s">
        <v>1013</v>
      </c>
      <c r="J529" t="s">
        <v>2038</v>
      </c>
      <c r="K529" t="s">
        <v>2038</v>
      </c>
    </row>
    <row r="530" spans="1:12" ht="16" x14ac:dyDescent="0.2">
      <c r="A530" t="s">
        <v>824</v>
      </c>
      <c r="B530">
        <v>882</v>
      </c>
      <c r="C530" s="4">
        <v>97.531000000000006</v>
      </c>
      <c r="D530">
        <v>0.84600000000000397</v>
      </c>
      <c r="E530" t="s">
        <v>10</v>
      </c>
      <c r="F530" t="s">
        <v>10</v>
      </c>
      <c r="G530" t="s">
        <v>341</v>
      </c>
      <c r="H530" t="str">
        <f>LEFT(I530, FIND(" sp.", I530) - 1)</f>
        <v>Tettigoniidae</v>
      </c>
      <c r="I530" t="s">
        <v>342</v>
      </c>
      <c r="J530" t="s">
        <v>2038</v>
      </c>
      <c r="K530" t="s">
        <v>2038</v>
      </c>
      <c r="L530" t="s">
        <v>2040</v>
      </c>
    </row>
    <row r="531" spans="1:12" ht="16" x14ac:dyDescent="0.2">
      <c r="A531" t="s">
        <v>1858</v>
      </c>
      <c r="B531">
        <v>2289</v>
      </c>
      <c r="C531" s="4">
        <v>97.546000000000006</v>
      </c>
      <c r="D531">
        <v>3.6909999999999998</v>
      </c>
      <c r="E531" t="s">
        <v>11</v>
      </c>
      <c r="F531" t="s">
        <v>11</v>
      </c>
      <c r="G531" t="s">
        <v>1859</v>
      </c>
      <c r="H531" t="s">
        <v>368</v>
      </c>
      <c r="I531" t="s">
        <v>367</v>
      </c>
      <c r="J531" t="s">
        <v>2038</v>
      </c>
      <c r="K531" t="s">
        <v>2038</v>
      </c>
      <c r="L531" t="s">
        <v>10</v>
      </c>
    </row>
    <row r="532" spans="1:12" ht="16" x14ac:dyDescent="0.2">
      <c r="A532" t="s">
        <v>402</v>
      </c>
      <c r="B532">
        <v>317</v>
      </c>
      <c r="C532" s="4">
        <v>97.647000000000006</v>
      </c>
      <c r="D532">
        <v>0.58800000000000796</v>
      </c>
      <c r="E532" t="s">
        <v>10</v>
      </c>
      <c r="F532" t="s">
        <v>10</v>
      </c>
      <c r="G532" t="s">
        <v>10</v>
      </c>
      <c r="H532" t="s">
        <v>310</v>
      </c>
      <c r="I532" t="s">
        <v>403</v>
      </c>
      <c r="J532" t="s">
        <v>2038</v>
      </c>
      <c r="K532" t="s">
        <v>2038</v>
      </c>
      <c r="L532" t="s">
        <v>10</v>
      </c>
    </row>
    <row r="533" spans="1:12" ht="16" x14ac:dyDescent="0.2">
      <c r="A533" t="s">
        <v>1073</v>
      </c>
      <c r="B533">
        <v>1274</v>
      </c>
      <c r="C533" s="4">
        <v>97.700999999999993</v>
      </c>
      <c r="D533">
        <v>0</v>
      </c>
      <c r="H533" t="str">
        <f>LEFT(I533, FIND(" sp.", I533) - 1)</f>
        <v>Lepidoptera</v>
      </c>
      <c r="I533" t="s">
        <v>1074</v>
      </c>
      <c r="J533" t="s">
        <v>2038</v>
      </c>
      <c r="K533" t="s">
        <v>2038</v>
      </c>
      <c r="L533" t="s">
        <v>10</v>
      </c>
    </row>
    <row r="534" spans="1:12" ht="16" x14ac:dyDescent="0.2">
      <c r="A534" t="s">
        <v>1410</v>
      </c>
      <c r="B534">
        <v>1682</v>
      </c>
      <c r="C534" s="4">
        <v>97.765000000000001</v>
      </c>
      <c r="D534">
        <v>0</v>
      </c>
      <c r="E534" t="s">
        <v>1234</v>
      </c>
      <c r="F534" t="s">
        <v>1235</v>
      </c>
      <c r="G534" t="s">
        <v>1236</v>
      </c>
      <c r="H534" t="str">
        <f>LEFT(I534, FIND(" sp.", I534) - 1)</f>
        <v>Chilopoda</v>
      </c>
      <c r="I534" t="s">
        <v>1237</v>
      </c>
      <c r="J534" t="s">
        <v>2038</v>
      </c>
      <c r="K534" t="s">
        <v>2038</v>
      </c>
      <c r="L534" t="s">
        <v>10</v>
      </c>
    </row>
    <row r="535" spans="1:12" ht="16" x14ac:dyDescent="0.2">
      <c r="A535" t="s">
        <v>1469</v>
      </c>
      <c r="B535">
        <v>1806</v>
      </c>
      <c r="C535" s="4">
        <v>97.765000000000001</v>
      </c>
      <c r="D535">
        <v>0</v>
      </c>
      <c r="E535" t="s">
        <v>1234</v>
      </c>
      <c r="F535" t="s">
        <v>1235</v>
      </c>
      <c r="G535" t="s">
        <v>1236</v>
      </c>
      <c r="H535" t="str">
        <f>LEFT(I535, FIND(" sp.", I535) - 1)</f>
        <v>Chilopoda</v>
      </c>
      <c r="I535" t="s">
        <v>1237</v>
      </c>
      <c r="J535" t="s">
        <v>2038</v>
      </c>
      <c r="K535" t="s">
        <v>2038</v>
      </c>
      <c r="L535" t="s">
        <v>10</v>
      </c>
    </row>
    <row r="536" spans="1:12" ht="16" x14ac:dyDescent="0.2">
      <c r="A536" t="s">
        <v>1918</v>
      </c>
      <c r="B536">
        <v>2355</v>
      </c>
      <c r="C536" s="4">
        <v>97.765000000000001</v>
      </c>
      <c r="D536">
        <v>0</v>
      </c>
      <c r="E536" t="s">
        <v>1234</v>
      </c>
      <c r="F536" t="s">
        <v>1235</v>
      </c>
      <c r="G536" t="s">
        <v>1236</v>
      </c>
      <c r="H536" t="str">
        <f>LEFT(I536, FIND(" sp.", I536) - 1)</f>
        <v>Chilopoda</v>
      </c>
      <c r="I536" t="s">
        <v>1237</v>
      </c>
      <c r="J536" t="s">
        <v>2038</v>
      </c>
      <c r="K536" t="s">
        <v>2038</v>
      </c>
      <c r="L536" t="s">
        <v>10</v>
      </c>
    </row>
    <row r="537" spans="1:12" ht="16" x14ac:dyDescent="0.2">
      <c r="A537" t="s">
        <v>1967</v>
      </c>
      <c r="B537">
        <v>2478</v>
      </c>
      <c r="C537" s="4">
        <v>97.765000000000001</v>
      </c>
      <c r="D537">
        <v>97.765000000000001</v>
      </c>
      <c r="H537" t="s">
        <v>329</v>
      </c>
      <c r="I537" t="s">
        <v>330</v>
      </c>
      <c r="J537" t="s">
        <v>2038</v>
      </c>
      <c r="K537" t="s">
        <v>2038</v>
      </c>
      <c r="L537" t="s">
        <v>10</v>
      </c>
    </row>
    <row r="538" spans="1:12" ht="16" x14ac:dyDescent="0.2">
      <c r="A538" t="s">
        <v>1928</v>
      </c>
      <c r="B538">
        <v>2378</v>
      </c>
      <c r="C538" s="4">
        <v>97.778000000000006</v>
      </c>
      <c r="D538">
        <v>0.54000000000000603</v>
      </c>
      <c r="E538" t="s">
        <v>10</v>
      </c>
      <c r="F538" t="s">
        <v>10</v>
      </c>
      <c r="G538" t="s">
        <v>10</v>
      </c>
      <c r="H538" t="s">
        <v>490</v>
      </c>
      <c r="I538" t="s">
        <v>1929</v>
      </c>
      <c r="J538" t="s">
        <v>2038</v>
      </c>
      <c r="K538" t="s">
        <v>2038</v>
      </c>
      <c r="L538" t="s">
        <v>2040</v>
      </c>
    </row>
    <row r="539" spans="1:12" ht="16" x14ac:dyDescent="0.2">
      <c r="A539" t="s">
        <v>1597</v>
      </c>
      <c r="B539">
        <v>1964</v>
      </c>
      <c r="C539" s="4">
        <v>97.778000000000006</v>
      </c>
      <c r="D539">
        <v>1.30000000000052E-2</v>
      </c>
      <c r="E539" t="s">
        <v>10</v>
      </c>
      <c r="F539" t="s">
        <v>1598</v>
      </c>
      <c r="G539" t="s">
        <v>1599</v>
      </c>
      <c r="H539" t="s">
        <v>1600</v>
      </c>
      <c r="I539" t="s">
        <v>1601</v>
      </c>
      <c r="J539" t="s">
        <v>2038</v>
      </c>
      <c r="K539" t="s">
        <v>2038</v>
      </c>
      <c r="L539" t="s">
        <v>2040</v>
      </c>
    </row>
    <row r="540" spans="1:12" ht="16" x14ac:dyDescent="0.2">
      <c r="A540" t="s">
        <v>343</v>
      </c>
      <c r="B540">
        <v>264</v>
      </c>
      <c r="C540" s="4">
        <v>97.778000000000006</v>
      </c>
      <c r="D540">
        <v>1.30000000000052E-2</v>
      </c>
      <c r="E540" t="s">
        <v>255</v>
      </c>
      <c r="F540" t="s">
        <v>344</v>
      </c>
      <c r="G540" t="s">
        <v>345</v>
      </c>
      <c r="H540" t="s">
        <v>346</v>
      </c>
      <c r="I540" t="s">
        <v>347</v>
      </c>
      <c r="J540" t="s">
        <v>2038</v>
      </c>
      <c r="K540" t="s">
        <v>2038</v>
      </c>
      <c r="L540" t="s">
        <v>10</v>
      </c>
    </row>
    <row r="541" spans="1:12" ht="16" x14ac:dyDescent="0.2">
      <c r="A541" t="s">
        <v>1481</v>
      </c>
      <c r="B541">
        <v>1822</v>
      </c>
      <c r="C541" s="4">
        <v>97.778000000000006</v>
      </c>
      <c r="D541">
        <v>1.64500000000001</v>
      </c>
      <c r="E541" t="s">
        <v>1482</v>
      </c>
      <c r="F541" t="s">
        <v>1483</v>
      </c>
      <c r="G541" t="s">
        <v>1484</v>
      </c>
      <c r="H541" t="str">
        <f>LEFT(I541, FIND(" sp.", I541) - 1)</f>
        <v>Araneae</v>
      </c>
      <c r="I541" t="s">
        <v>1485</v>
      </c>
      <c r="J541" t="s">
        <v>2038</v>
      </c>
      <c r="K541" t="s">
        <v>2038</v>
      </c>
      <c r="L541" t="s">
        <v>10</v>
      </c>
    </row>
    <row r="542" spans="1:12" ht="16" x14ac:dyDescent="0.2">
      <c r="A542" t="s">
        <v>760</v>
      </c>
      <c r="B542">
        <v>795</v>
      </c>
      <c r="C542" s="4">
        <v>97.778000000000006</v>
      </c>
      <c r="D542">
        <v>0</v>
      </c>
      <c r="E542" t="s">
        <v>10</v>
      </c>
      <c r="F542" t="s">
        <v>10</v>
      </c>
      <c r="G542" t="s">
        <v>761</v>
      </c>
      <c r="H542" t="s">
        <v>176</v>
      </c>
      <c r="I542" t="s">
        <v>762</v>
      </c>
      <c r="J542" t="s">
        <v>2038</v>
      </c>
      <c r="K542" t="s">
        <v>2038</v>
      </c>
      <c r="L542" t="s">
        <v>10</v>
      </c>
    </row>
    <row r="543" spans="1:12" ht="16" x14ac:dyDescent="0.2">
      <c r="A543" t="s">
        <v>1232</v>
      </c>
      <c r="B543">
        <v>1481</v>
      </c>
      <c r="C543" s="4">
        <v>97.778000000000006</v>
      </c>
      <c r="D543">
        <v>0</v>
      </c>
      <c r="E543" t="s">
        <v>255</v>
      </c>
      <c r="F543" t="s">
        <v>10</v>
      </c>
      <c r="G543" t="s">
        <v>535</v>
      </c>
      <c r="H543" t="str">
        <f>LEFT(I543, FIND(" sp.", I543) - 1)</f>
        <v>Lepidoptera</v>
      </c>
      <c r="I543" t="s">
        <v>506</v>
      </c>
      <c r="J543" t="s">
        <v>2038</v>
      </c>
      <c r="K543" t="s">
        <v>2038</v>
      </c>
      <c r="L543" t="s">
        <v>10</v>
      </c>
    </row>
    <row r="544" spans="1:12" ht="16" x14ac:dyDescent="0.2">
      <c r="A544" t="s">
        <v>1860</v>
      </c>
      <c r="B544">
        <v>2290</v>
      </c>
      <c r="C544" s="4">
        <v>97.778000000000006</v>
      </c>
      <c r="D544">
        <v>0.54000000000000603</v>
      </c>
      <c r="E544" t="s">
        <v>10</v>
      </c>
      <c r="F544" t="s">
        <v>10</v>
      </c>
      <c r="G544" t="s">
        <v>10</v>
      </c>
      <c r="H544" t="s">
        <v>108</v>
      </c>
      <c r="I544" t="s">
        <v>109</v>
      </c>
      <c r="J544" t="s">
        <v>2038</v>
      </c>
      <c r="K544" t="s">
        <v>2038</v>
      </c>
      <c r="L544" t="s">
        <v>10</v>
      </c>
    </row>
    <row r="545" spans="1:12" ht="16" x14ac:dyDescent="0.2">
      <c r="A545" t="s">
        <v>1309</v>
      </c>
      <c r="B545">
        <v>1557</v>
      </c>
      <c r="C545" s="4">
        <v>97.778000000000006</v>
      </c>
      <c r="D545">
        <v>2.04600000000001</v>
      </c>
      <c r="E545" t="s">
        <v>10</v>
      </c>
      <c r="F545" t="s">
        <v>10</v>
      </c>
      <c r="G545" t="s">
        <v>10</v>
      </c>
      <c r="H545" t="s">
        <v>1310</v>
      </c>
      <c r="I545" t="s">
        <v>1311</v>
      </c>
      <c r="J545" t="s">
        <v>2038</v>
      </c>
      <c r="K545" t="s">
        <v>2038</v>
      </c>
      <c r="L545" t="s">
        <v>10</v>
      </c>
    </row>
    <row r="546" spans="1:12" ht="16" x14ac:dyDescent="0.2">
      <c r="A546" t="s">
        <v>1880</v>
      </c>
      <c r="B546">
        <v>2312</v>
      </c>
      <c r="C546" s="4">
        <v>97.778000000000006</v>
      </c>
      <c r="D546">
        <v>1.093</v>
      </c>
      <c r="E546" t="s">
        <v>10</v>
      </c>
      <c r="F546" t="s">
        <v>1226</v>
      </c>
      <c r="G546" t="s">
        <v>1881</v>
      </c>
      <c r="H546" t="str">
        <f>LEFT(I546, FIND(" sp.", I546) - 1)</f>
        <v>Larentiinae</v>
      </c>
      <c r="I546" t="s">
        <v>1882</v>
      </c>
      <c r="J546" t="s">
        <v>2038</v>
      </c>
      <c r="K546" t="s">
        <v>2038</v>
      </c>
    </row>
    <row r="547" spans="1:12" ht="16" x14ac:dyDescent="0.2">
      <c r="A547" t="s">
        <v>770</v>
      </c>
      <c r="B547">
        <v>809</v>
      </c>
      <c r="C547" s="4">
        <v>97.778000000000006</v>
      </c>
      <c r="D547">
        <v>0</v>
      </c>
      <c r="E547" t="s">
        <v>10</v>
      </c>
      <c r="F547" t="s">
        <v>10</v>
      </c>
      <c r="G547" t="s">
        <v>761</v>
      </c>
      <c r="H547" t="s">
        <v>176</v>
      </c>
      <c r="I547" t="s">
        <v>762</v>
      </c>
      <c r="J547" t="s">
        <v>2038</v>
      </c>
      <c r="K547" t="s">
        <v>2038</v>
      </c>
      <c r="L547" t="s">
        <v>10</v>
      </c>
    </row>
    <row r="548" spans="1:12" ht="16" x14ac:dyDescent="0.2">
      <c r="A548" t="s">
        <v>974</v>
      </c>
      <c r="B548">
        <v>1126</v>
      </c>
      <c r="C548" s="4">
        <v>97.79</v>
      </c>
      <c r="D548">
        <v>4.9720000000000102</v>
      </c>
      <c r="E548" t="s">
        <v>118</v>
      </c>
      <c r="F548" t="s">
        <v>10</v>
      </c>
      <c r="J548" t="s">
        <v>2038</v>
      </c>
      <c r="K548" t="s">
        <v>2038</v>
      </c>
      <c r="L548" t="s">
        <v>2040</v>
      </c>
    </row>
    <row r="549" spans="1:12" ht="16" x14ac:dyDescent="0.2">
      <c r="A549" t="s">
        <v>1475</v>
      </c>
      <c r="B549">
        <v>1813</v>
      </c>
      <c r="C549" s="4">
        <v>97.79</v>
      </c>
      <c r="D549">
        <v>4.42</v>
      </c>
      <c r="E549" t="s">
        <v>118</v>
      </c>
      <c r="F549" t="s">
        <v>10</v>
      </c>
      <c r="J549" t="s">
        <v>2038</v>
      </c>
      <c r="K549" t="s">
        <v>2038</v>
      </c>
      <c r="L549" t="s">
        <v>2040</v>
      </c>
    </row>
    <row r="550" spans="1:12" ht="16" x14ac:dyDescent="0.2">
      <c r="A550" t="s">
        <v>1240</v>
      </c>
      <c r="B550">
        <v>1488</v>
      </c>
      <c r="C550" s="4">
        <v>97.79</v>
      </c>
      <c r="D550">
        <v>1.20000000000005E-2</v>
      </c>
      <c r="E550" t="s">
        <v>255</v>
      </c>
      <c r="F550" t="s">
        <v>344</v>
      </c>
      <c r="G550" t="s">
        <v>345</v>
      </c>
      <c r="H550" t="s">
        <v>346</v>
      </c>
      <c r="I550" t="s">
        <v>347</v>
      </c>
      <c r="J550" t="s">
        <v>2038</v>
      </c>
      <c r="K550" t="s">
        <v>2038</v>
      </c>
      <c r="L550" t="s">
        <v>10</v>
      </c>
    </row>
    <row r="551" spans="1:12" ht="16" x14ac:dyDescent="0.2">
      <c r="A551" t="s">
        <v>642</v>
      </c>
      <c r="B551">
        <v>644</v>
      </c>
      <c r="C551" s="4">
        <v>97.79</v>
      </c>
      <c r="D551">
        <v>97.79</v>
      </c>
      <c r="H551" t="s">
        <v>121</v>
      </c>
      <c r="I551" t="s">
        <v>122</v>
      </c>
      <c r="J551" t="s">
        <v>2038</v>
      </c>
      <c r="K551" t="s">
        <v>2038</v>
      </c>
      <c r="L551" t="s">
        <v>10</v>
      </c>
    </row>
    <row r="552" spans="1:12" ht="16" x14ac:dyDescent="0.2">
      <c r="A552" t="s">
        <v>1930</v>
      </c>
      <c r="B552">
        <v>2380</v>
      </c>
      <c r="C552" s="4">
        <v>97.79</v>
      </c>
      <c r="D552">
        <v>0</v>
      </c>
      <c r="E552" t="s">
        <v>10</v>
      </c>
      <c r="F552" t="s">
        <v>1612</v>
      </c>
      <c r="G552" t="s">
        <v>1613</v>
      </c>
      <c r="H552" t="s">
        <v>495</v>
      </c>
      <c r="I552" t="s">
        <v>496</v>
      </c>
      <c r="J552" t="s">
        <v>2038</v>
      </c>
      <c r="K552" t="s">
        <v>2038</v>
      </c>
      <c r="L552" t="s">
        <v>10</v>
      </c>
    </row>
    <row r="553" spans="1:12" ht="16" x14ac:dyDescent="0.2">
      <c r="A553" t="s">
        <v>592</v>
      </c>
      <c r="B553">
        <v>602</v>
      </c>
      <c r="C553" s="4">
        <v>97.79</v>
      </c>
      <c r="D553">
        <v>0.55200000000000704</v>
      </c>
      <c r="E553" t="s">
        <v>11</v>
      </c>
      <c r="F553" t="s">
        <v>11</v>
      </c>
      <c r="G553" t="s">
        <v>88</v>
      </c>
      <c r="H553" t="s">
        <v>89</v>
      </c>
      <c r="I553" t="s">
        <v>90</v>
      </c>
      <c r="J553" t="s">
        <v>2038</v>
      </c>
      <c r="K553" t="s">
        <v>2038</v>
      </c>
      <c r="L553" t="s">
        <v>10</v>
      </c>
    </row>
    <row r="554" spans="1:12" ht="16" x14ac:dyDescent="0.2">
      <c r="A554" t="s">
        <v>969</v>
      </c>
      <c r="B554">
        <v>1087</v>
      </c>
      <c r="C554" s="4">
        <v>97.79</v>
      </c>
      <c r="D554">
        <v>1.105</v>
      </c>
      <c r="E554" t="s">
        <v>10</v>
      </c>
      <c r="F554" t="s">
        <v>10</v>
      </c>
      <c r="G554" t="s">
        <v>10</v>
      </c>
      <c r="H554" t="s">
        <v>30</v>
      </c>
      <c r="I554" t="s">
        <v>31</v>
      </c>
      <c r="J554" t="s">
        <v>2038</v>
      </c>
      <c r="K554" t="s">
        <v>2038</v>
      </c>
      <c r="L554" t="s">
        <v>10</v>
      </c>
    </row>
    <row r="555" spans="1:12" ht="16" x14ac:dyDescent="0.2">
      <c r="A555" t="s">
        <v>842</v>
      </c>
      <c r="B555">
        <v>901</v>
      </c>
      <c r="C555" s="4">
        <v>97.79</v>
      </c>
      <c r="D555">
        <v>0.55200000000000704</v>
      </c>
      <c r="E555" t="s">
        <v>241</v>
      </c>
      <c r="F555" t="s">
        <v>495</v>
      </c>
      <c r="G555" t="s">
        <v>496</v>
      </c>
      <c r="H555" t="s">
        <v>497</v>
      </c>
      <c r="I555" t="s">
        <v>498</v>
      </c>
      <c r="J555" t="s">
        <v>2038</v>
      </c>
      <c r="K555" t="s">
        <v>2038</v>
      </c>
      <c r="L555" t="s">
        <v>10</v>
      </c>
    </row>
    <row r="556" spans="1:12" ht="16" x14ac:dyDescent="0.2">
      <c r="A556" t="s">
        <v>1209</v>
      </c>
      <c r="B556">
        <v>1446</v>
      </c>
      <c r="C556" s="4">
        <v>97.79</v>
      </c>
      <c r="D556">
        <v>0</v>
      </c>
      <c r="E556" t="s">
        <v>33</v>
      </c>
      <c r="F556" t="s">
        <v>1059</v>
      </c>
      <c r="G556" t="s">
        <v>1060</v>
      </c>
      <c r="H556" t="str">
        <f>LEFT(I556, FIND(" sp.", I556) - 1)</f>
        <v>Lepidoptera</v>
      </c>
      <c r="I556" t="s">
        <v>1210</v>
      </c>
      <c r="J556" t="s">
        <v>2038</v>
      </c>
      <c r="K556" t="s">
        <v>2038</v>
      </c>
      <c r="L556" t="s">
        <v>10</v>
      </c>
    </row>
    <row r="557" spans="1:12" ht="16" x14ac:dyDescent="0.2">
      <c r="A557" t="s">
        <v>1769</v>
      </c>
      <c r="B557">
        <v>2181</v>
      </c>
      <c r="C557" s="4">
        <v>97.79</v>
      </c>
      <c r="D557">
        <v>1.20000000000005E-2</v>
      </c>
      <c r="E557" t="s">
        <v>10</v>
      </c>
      <c r="F557" t="s">
        <v>10</v>
      </c>
      <c r="G557" t="s">
        <v>1303</v>
      </c>
      <c r="H557" t="s">
        <v>1304</v>
      </c>
      <c r="I557" t="s">
        <v>1305</v>
      </c>
      <c r="J557" t="s">
        <v>2038</v>
      </c>
      <c r="K557" t="s">
        <v>2038</v>
      </c>
      <c r="L557" t="s">
        <v>10</v>
      </c>
    </row>
    <row r="558" spans="1:12" ht="16" x14ac:dyDescent="0.2">
      <c r="A558" t="s">
        <v>1111</v>
      </c>
      <c r="B558">
        <v>1316</v>
      </c>
      <c r="C558" s="4">
        <v>97.79</v>
      </c>
      <c r="D558">
        <v>0</v>
      </c>
      <c r="E558" t="s">
        <v>255</v>
      </c>
      <c r="F558" t="s">
        <v>1112</v>
      </c>
      <c r="G558" t="s">
        <v>1113</v>
      </c>
      <c r="H558" t="s">
        <v>1114</v>
      </c>
      <c r="I558" t="s">
        <v>1115</v>
      </c>
      <c r="J558" t="s">
        <v>2038</v>
      </c>
      <c r="K558" t="s">
        <v>2038</v>
      </c>
      <c r="L558" t="s">
        <v>10</v>
      </c>
    </row>
    <row r="559" spans="1:12" ht="16" x14ac:dyDescent="0.2">
      <c r="A559" t="s">
        <v>1079</v>
      </c>
      <c r="B559">
        <v>1281</v>
      </c>
      <c r="C559" s="4">
        <v>97.79</v>
      </c>
      <c r="D559">
        <v>6.0770000000000097</v>
      </c>
      <c r="E559" t="s">
        <v>1080</v>
      </c>
      <c r="F559" t="s">
        <v>1081</v>
      </c>
      <c r="G559" t="s">
        <v>1082</v>
      </c>
      <c r="H559" t="s">
        <v>244</v>
      </c>
      <c r="I559" t="s">
        <v>245</v>
      </c>
      <c r="J559" t="s">
        <v>2038</v>
      </c>
      <c r="K559" t="s">
        <v>2038</v>
      </c>
      <c r="L559" t="s">
        <v>10</v>
      </c>
    </row>
    <row r="560" spans="1:12" ht="16" x14ac:dyDescent="0.2">
      <c r="A560" t="s">
        <v>943</v>
      </c>
      <c r="B560">
        <v>1052</v>
      </c>
      <c r="C560" s="4">
        <v>97.79</v>
      </c>
      <c r="D560">
        <v>1.20000000000005E-2</v>
      </c>
      <c r="E560" t="s">
        <v>10</v>
      </c>
      <c r="F560" t="s">
        <v>10</v>
      </c>
      <c r="G560" t="s">
        <v>17</v>
      </c>
      <c r="H560" t="s">
        <v>12</v>
      </c>
      <c r="I560" t="s">
        <v>18</v>
      </c>
      <c r="J560" t="s">
        <v>2038</v>
      </c>
      <c r="K560" t="s">
        <v>2038</v>
      </c>
      <c r="L560" t="s">
        <v>10</v>
      </c>
    </row>
    <row r="561" spans="1:12" ht="16" x14ac:dyDescent="0.2">
      <c r="A561" t="s">
        <v>888</v>
      </c>
      <c r="B561">
        <v>987</v>
      </c>
      <c r="C561" s="4">
        <v>97.79</v>
      </c>
      <c r="D561">
        <v>0.55200000000000704</v>
      </c>
      <c r="E561" t="s">
        <v>10</v>
      </c>
      <c r="F561" t="s">
        <v>10</v>
      </c>
      <c r="G561" t="s">
        <v>10</v>
      </c>
      <c r="H561" t="s">
        <v>138</v>
      </c>
      <c r="I561" t="s">
        <v>137</v>
      </c>
      <c r="J561" t="s">
        <v>2038</v>
      </c>
      <c r="K561" t="s">
        <v>2038</v>
      </c>
    </row>
    <row r="562" spans="1:12" ht="16" x14ac:dyDescent="0.2">
      <c r="A562" t="s">
        <v>687</v>
      </c>
      <c r="B562">
        <v>688</v>
      </c>
      <c r="C562" s="4">
        <v>97.79</v>
      </c>
      <c r="D562">
        <v>0.51100000000001</v>
      </c>
      <c r="E562" t="s">
        <v>10</v>
      </c>
      <c r="F562" t="s">
        <v>10</v>
      </c>
      <c r="G562" t="s">
        <v>10</v>
      </c>
      <c r="H562" t="s">
        <v>60</v>
      </c>
      <c r="I562" t="s">
        <v>61</v>
      </c>
      <c r="J562" t="s">
        <v>2037</v>
      </c>
      <c r="K562" t="s">
        <v>2037</v>
      </c>
      <c r="L562" t="s">
        <v>2040</v>
      </c>
    </row>
    <row r="563" spans="1:12" ht="16" x14ac:dyDescent="0.2">
      <c r="A563" t="s">
        <v>374</v>
      </c>
      <c r="B563">
        <v>294</v>
      </c>
      <c r="C563" s="4">
        <v>97.79</v>
      </c>
      <c r="D563">
        <v>1.105</v>
      </c>
      <c r="E563" t="s">
        <v>10</v>
      </c>
      <c r="F563" t="s">
        <v>10</v>
      </c>
      <c r="G563" t="s">
        <v>375</v>
      </c>
      <c r="H563" t="s">
        <v>377</v>
      </c>
      <c r="I563" t="s">
        <v>378</v>
      </c>
      <c r="J563" t="s">
        <v>2037</v>
      </c>
      <c r="K563" t="s">
        <v>2037</v>
      </c>
      <c r="L563" t="s">
        <v>10</v>
      </c>
    </row>
    <row r="564" spans="1:12" ht="16" x14ac:dyDescent="0.2">
      <c r="A564" t="s">
        <v>897</v>
      </c>
      <c r="B564">
        <v>1001</v>
      </c>
      <c r="C564" s="4">
        <v>97.79</v>
      </c>
      <c r="D564">
        <v>0.55200000000000704</v>
      </c>
      <c r="E564" t="s">
        <v>10</v>
      </c>
      <c r="F564" t="s">
        <v>10</v>
      </c>
      <c r="H564" t="s">
        <v>157</v>
      </c>
      <c r="J564" t="s">
        <v>2037</v>
      </c>
      <c r="K564" t="s">
        <v>2037</v>
      </c>
      <c r="L564" t="s">
        <v>10</v>
      </c>
    </row>
    <row r="565" spans="1:12" ht="16" x14ac:dyDescent="0.2">
      <c r="A565" t="s">
        <v>1361</v>
      </c>
      <c r="B565">
        <v>1613</v>
      </c>
      <c r="C565" s="4">
        <v>97.79</v>
      </c>
      <c r="D565">
        <v>6.3000000000002401E-2</v>
      </c>
      <c r="E565" t="s">
        <v>10</v>
      </c>
      <c r="F565" t="s">
        <v>10</v>
      </c>
      <c r="G565" t="s">
        <v>10</v>
      </c>
      <c r="H565" t="s">
        <v>1362</v>
      </c>
      <c r="I565" t="s">
        <v>1363</v>
      </c>
      <c r="J565" t="s">
        <v>2037</v>
      </c>
      <c r="K565" t="s">
        <v>2037</v>
      </c>
      <c r="L565" t="s">
        <v>10</v>
      </c>
    </row>
    <row r="566" spans="1:12" ht="16" x14ac:dyDescent="0.2">
      <c r="A566" t="s">
        <v>1399</v>
      </c>
      <c r="B566">
        <v>1670</v>
      </c>
      <c r="C566" s="4">
        <v>97.79</v>
      </c>
      <c r="D566">
        <v>0.55200000000000704</v>
      </c>
      <c r="E566" t="s">
        <v>10</v>
      </c>
      <c r="F566" t="s">
        <v>11</v>
      </c>
      <c r="G566" t="s">
        <v>1400</v>
      </c>
      <c r="H566" t="s">
        <v>176</v>
      </c>
      <c r="I566" t="s">
        <v>762</v>
      </c>
      <c r="J566" t="s">
        <v>2037</v>
      </c>
      <c r="K566" t="s">
        <v>2037</v>
      </c>
      <c r="L566" t="s">
        <v>10</v>
      </c>
    </row>
    <row r="567" spans="1:12" ht="16" x14ac:dyDescent="0.2">
      <c r="A567" t="s">
        <v>971</v>
      </c>
      <c r="B567">
        <v>1090</v>
      </c>
      <c r="C567" s="4">
        <v>97.79</v>
      </c>
      <c r="D567">
        <v>4.42</v>
      </c>
      <c r="E567" t="s">
        <v>118</v>
      </c>
      <c r="F567" t="s">
        <v>10</v>
      </c>
      <c r="H567" t="s">
        <v>11</v>
      </c>
      <c r="J567" t="s">
        <v>2714</v>
      </c>
      <c r="L567" t="s">
        <v>2040</v>
      </c>
    </row>
    <row r="568" spans="1:12" ht="16" x14ac:dyDescent="0.2">
      <c r="A568" t="s">
        <v>1589</v>
      </c>
      <c r="B568">
        <v>1959</v>
      </c>
      <c r="C568" s="4">
        <v>97.802000000000007</v>
      </c>
      <c r="D568">
        <v>6.593</v>
      </c>
      <c r="E568" t="s">
        <v>1206</v>
      </c>
      <c r="F568" t="s">
        <v>1207</v>
      </c>
      <c r="G568" t="s">
        <v>1517</v>
      </c>
      <c r="H568" t="s">
        <v>815</v>
      </c>
      <c r="I568" t="s">
        <v>816</v>
      </c>
      <c r="J568" t="s">
        <v>2038</v>
      </c>
      <c r="K568" t="s">
        <v>2038</v>
      </c>
      <c r="L568" t="s">
        <v>2040</v>
      </c>
    </row>
    <row r="569" spans="1:12" ht="16" x14ac:dyDescent="0.2">
      <c r="A569" t="s">
        <v>851</v>
      </c>
      <c r="B569">
        <v>922</v>
      </c>
      <c r="C569" s="4">
        <v>97.802000000000007</v>
      </c>
      <c r="D569">
        <v>1.20000000000005E-2</v>
      </c>
      <c r="E569" t="s">
        <v>10</v>
      </c>
      <c r="F569" t="s">
        <v>10</v>
      </c>
      <c r="G569" t="s">
        <v>10</v>
      </c>
      <c r="H569" t="s">
        <v>291</v>
      </c>
      <c r="I569" t="s">
        <v>292</v>
      </c>
      <c r="J569" t="s">
        <v>2038</v>
      </c>
      <c r="K569" t="s">
        <v>2038</v>
      </c>
      <c r="L569" t="s">
        <v>10</v>
      </c>
    </row>
    <row r="570" spans="1:12" ht="16" x14ac:dyDescent="0.2">
      <c r="A570" t="s">
        <v>1246</v>
      </c>
      <c r="B570">
        <v>1497</v>
      </c>
      <c r="C570" s="4">
        <v>97.872</v>
      </c>
      <c r="D570">
        <v>97.872</v>
      </c>
      <c r="H570" t="s">
        <v>1247</v>
      </c>
      <c r="I570" t="s">
        <v>1248</v>
      </c>
      <c r="J570" t="s">
        <v>2038</v>
      </c>
      <c r="K570" t="s">
        <v>2038</v>
      </c>
      <c r="L570" t="s">
        <v>10</v>
      </c>
    </row>
    <row r="571" spans="1:12" ht="16" x14ac:dyDescent="0.2">
      <c r="A571" t="s">
        <v>1097</v>
      </c>
      <c r="B571">
        <v>1295</v>
      </c>
      <c r="C571" s="5">
        <v>98.064999999999998</v>
      </c>
      <c r="D571">
        <v>0.13400000000000001</v>
      </c>
      <c r="E571" t="s">
        <v>551</v>
      </c>
      <c r="F571" t="s">
        <v>552</v>
      </c>
      <c r="G571" t="s">
        <v>553</v>
      </c>
      <c r="H571" t="s">
        <v>1099</v>
      </c>
      <c r="I571" t="s">
        <v>1100</v>
      </c>
      <c r="J571" t="s">
        <v>2038</v>
      </c>
      <c r="K571" t="s">
        <v>2038</v>
      </c>
      <c r="L571" t="s">
        <v>10</v>
      </c>
    </row>
    <row r="572" spans="1:12" ht="16" x14ac:dyDescent="0.2">
      <c r="A572" t="s">
        <v>77</v>
      </c>
      <c r="B572">
        <v>36</v>
      </c>
      <c r="C572" s="5">
        <v>98.197999999999993</v>
      </c>
      <c r="D572">
        <v>98.197999999999993</v>
      </c>
      <c r="H572" t="s">
        <v>57</v>
      </c>
      <c r="I572" t="s">
        <v>58</v>
      </c>
      <c r="J572" t="s">
        <v>2038</v>
      </c>
      <c r="K572" t="s">
        <v>2038</v>
      </c>
    </row>
    <row r="573" spans="1:12" ht="16" x14ac:dyDescent="0.2">
      <c r="A573" t="s">
        <v>1023</v>
      </c>
      <c r="B573">
        <v>1208</v>
      </c>
      <c r="C573" s="5">
        <v>98.224999999999994</v>
      </c>
      <c r="D573">
        <v>1.7749999999999899</v>
      </c>
      <c r="E573" t="s">
        <v>10</v>
      </c>
      <c r="F573" t="s">
        <v>10</v>
      </c>
      <c r="G573" t="s">
        <v>632</v>
      </c>
      <c r="H573" t="s">
        <v>176</v>
      </c>
      <c r="I573" t="s">
        <v>633</v>
      </c>
      <c r="J573" t="s">
        <v>2038</v>
      </c>
      <c r="K573" t="s">
        <v>2038</v>
      </c>
      <c r="L573" t="s">
        <v>10</v>
      </c>
    </row>
    <row r="574" spans="1:12" ht="16" x14ac:dyDescent="0.2">
      <c r="A574" t="s">
        <v>883</v>
      </c>
      <c r="B574">
        <v>957</v>
      </c>
      <c r="C574" s="5">
        <v>98.245999999999995</v>
      </c>
      <c r="D574">
        <v>0.14499999999999599</v>
      </c>
      <c r="E574" t="s">
        <v>10</v>
      </c>
      <c r="F574" t="s">
        <v>10</v>
      </c>
      <c r="G574" t="s">
        <v>10</v>
      </c>
      <c r="H574" t="s">
        <v>149</v>
      </c>
      <c r="I574" t="s">
        <v>180</v>
      </c>
      <c r="J574" t="s">
        <v>2038</v>
      </c>
      <c r="K574" t="s">
        <v>2038</v>
      </c>
      <c r="L574" t="s">
        <v>10</v>
      </c>
    </row>
    <row r="575" spans="1:12" ht="16" x14ac:dyDescent="0.2">
      <c r="A575" t="s">
        <v>668</v>
      </c>
      <c r="B575">
        <v>677</v>
      </c>
      <c r="C575" s="5">
        <v>98.295000000000002</v>
      </c>
      <c r="D575">
        <v>0.56799999999999795</v>
      </c>
      <c r="E575" t="s">
        <v>10</v>
      </c>
      <c r="F575" t="s">
        <v>669</v>
      </c>
      <c r="G575" t="s">
        <v>670</v>
      </c>
      <c r="H575" t="s">
        <v>671</v>
      </c>
      <c r="I575" t="s">
        <v>672</v>
      </c>
      <c r="J575" t="s">
        <v>2038</v>
      </c>
      <c r="K575" t="s">
        <v>2038</v>
      </c>
    </row>
    <row r="576" spans="1:12" ht="16" x14ac:dyDescent="0.2">
      <c r="A576" t="s">
        <v>1893</v>
      </c>
      <c r="B576">
        <v>2323</v>
      </c>
      <c r="C576" s="5">
        <v>98.314999999999998</v>
      </c>
      <c r="D576">
        <v>0.52499999999999103</v>
      </c>
      <c r="E576" t="s">
        <v>10</v>
      </c>
      <c r="F576" t="s">
        <v>10</v>
      </c>
      <c r="J576" t="s">
        <v>2038</v>
      </c>
      <c r="K576" t="s">
        <v>2038</v>
      </c>
      <c r="L576" t="s">
        <v>2040</v>
      </c>
    </row>
    <row r="577" spans="1:12" ht="16" x14ac:dyDescent="0.2">
      <c r="A577" t="s">
        <v>1580</v>
      </c>
      <c r="B577">
        <v>1945</v>
      </c>
      <c r="C577" s="5">
        <v>98.323999999999998</v>
      </c>
      <c r="D577">
        <v>0</v>
      </c>
      <c r="E577" t="s">
        <v>1234</v>
      </c>
      <c r="F577" t="s">
        <v>1235</v>
      </c>
      <c r="G577" t="s">
        <v>1236</v>
      </c>
      <c r="H577" t="str">
        <f>LEFT(I577, FIND(" sp.", I577) - 1)</f>
        <v>Chilopoda</v>
      </c>
      <c r="I577" t="s">
        <v>1237</v>
      </c>
      <c r="J577" t="s">
        <v>2038</v>
      </c>
      <c r="K577" t="s">
        <v>2038</v>
      </c>
      <c r="L577" t="s">
        <v>10</v>
      </c>
    </row>
    <row r="578" spans="1:12" ht="16" x14ac:dyDescent="0.2">
      <c r="A578" t="s">
        <v>328</v>
      </c>
      <c r="B578">
        <v>240</v>
      </c>
      <c r="C578" s="5">
        <v>98.323999999999998</v>
      </c>
      <c r="D578">
        <v>98.323999999999998</v>
      </c>
      <c r="H578" t="s">
        <v>329</v>
      </c>
      <c r="I578" t="s">
        <v>330</v>
      </c>
      <c r="J578" t="s">
        <v>2038</v>
      </c>
      <c r="K578" t="s">
        <v>2038</v>
      </c>
      <c r="L578" t="s">
        <v>10</v>
      </c>
    </row>
    <row r="579" spans="1:12" ht="16" x14ac:dyDescent="0.2">
      <c r="A579" t="s">
        <v>442</v>
      </c>
      <c r="B579">
        <v>377</v>
      </c>
      <c r="C579" s="5">
        <v>98.332999999999998</v>
      </c>
      <c r="D579">
        <v>1.6659999999999999</v>
      </c>
      <c r="E579" t="s">
        <v>11</v>
      </c>
      <c r="F579" t="s">
        <v>11</v>
      </c>
      <c r="G579" t="s">
        <v>88</v>
      </c>
      <c r="H579" t="s">
        <v>89</v>
      </c>
      <c r="I579" t="s">
        <v>90</v>
      </c>
      <c r="J579" t="s">
        <v>2038</v>
      </c>
      <c r="K579" t="s">
        <v>2038</v>
      </c>
      <c r="L579" t="s">
        <v>10</v>
      </c>
    </row>
    <row r="580" spans="1:12" ht="16" x14ac:dyDescent="0.2">
      <c r="A580" t="s">
        <v>688</v>
      </c>
      <c r="B580">
        <v>690</v>
      </c>
      <c r="C580" s="5">
        <v>98.332999999999998</v>
      </c>
      <c r="D580">
        <v>9.0000000000003393E-3</v>
      </c>
      <c r="E580" t="s">
        <v>10</v>
      </c>
      <c r="F580" t="s">
        <v>10</v>
      </c>
      <c r="G580" t="s">
        <v>10</v>
      </c>
      <c r="H580" t="s">
        <v>329</v>
      </c>
      <c r="I580" t="s">
        <v>330</v>
      </c>
      <c r="J580" t="s">
        <v>2038</v>
      </c>
      <c r="K580" t="s">
        <v>2038</v>
      </c>
      <c r="L580" t="s">
        <v>10</v>
      </c>
    </row>
    <row r="581" spans="1:12" ht="16" x14ac:dyDescent="0.2">
      <c r="A581" t="s">
        <v>1453</v>
      </c>
      <c r="B581">
        <v>1780</v>
      </c>
      <c r="C581" s="5">
        <v>98.332999999999998</v>
      </c>
      <c r="D581">
        <v>2.2219999999999902</v>
      </c>
      <c r="E581" t="s">
        <v>10</v>
      </c>
      <c r="F581" t="s">
        <v>10</v>
      </c>
      <c r="G581" t="s">
        <v>10</v>
      </c>
      <c r="H581" t="s">
        <v>334</v>
      </c>
      <c r="I581" t="s">
        <v>335</v>
      </c>
      <c r="J581" t="s">
        <v>2038</v>
      </c>
      <c r="K581" t="s">
        <v>2038</v>
      </c>
      <c r="L581" t="s">
        <v>10</v>
      </c>
    </row>
    <row r="582" spans="1:12" ht="16" x14ac:dyDescent="0.2">
      <c r="A582" t="s">
        <v>333</v>
      </c>
      <c r="B582">
        <v>244</v>
      </c>
      <c r="C582" s="5">
        <v>98.332999999999998</v>
      </c>
      <c r="D582">
        <v>1.111</v>
      </c>
      <c r="E582" t="s">
        <v>10</v>
      </c>
      <c r="F582" t="s">
        <v>10</v>
      </c>
      <c r="G582" t="s">
        <v>10</v>
      </c>
      <c r="H582" t="s">
        <v>334</v>
      </c>
      <c r="I582" t="s">
        <v>335</v>
      </c>
      <c r="J582" t="s">
        <v>2038</v>
      </c>
      <c r="K582" t="s">
        <v>2038</v>
      </c>
      <c r="L582" t="s">
        <v>10</v>
      </c>
    </row>
    <row r="583" spans="1:12" ht="16" x14ac:dyDescent="0.2">
      <c r="A583" t="s">
        <v>404</v>
      </c>
      <c r="B583">
        <v>320</v>
      </c>
      <c r="C583" s="5">
        <v>98.332999999999998</v>
      </c>
      <c r="D583">
        <v>0</v>
      </c>
      <c r="E583" t="s">
        <v>10</v>
      </c>
      <c r="F583" t="s">
        <v>10</v>
      </c>
      <c r="G583" t="s">
        <v>405</v>
      </c>
      <c r="H583" t="str">
        <f>LEFT(I583, FIND(" sp.", I583) - 1)</f>
        <v>Cosmopterigidae</v>
      </c>
      <c r="I583" t="s">
        <v>406</v>
      </c>
      <c r="J583" t="s">
        <v>2038</v>
      </c>
      <c r="K583" t="s">
        <v>2038</v>
      </c>
    </row>
    <row r="584" spans="1:12" ht="16" x14ac:dyDescent="0.2">
      <c r="A584" t="s">
        <v>1541</v>
      </c>
      <c r="B584">
        <v>1890</v>
      </c>
      <c r="C584" s="5">
        <v>98.332999999999998</v>
      </c>
      <c r="D584">
        <v>0</v>
      </c>
      <c r="E584" t="s">
        <v>10</v>
      </c>
      <c r="F584" t="s">
        <v>10</v>
      </c>
      <c r="G584" t="s">
        <v>848</v>
      </c>
      <c r="H584" t="str">
        <f>LEFT(I584, FIND(" sp.", I584) - 1)</f>
        <v>Limoniidae</v>
      </c>
      <c r="I584" t="s">
        <v>849</v>
      </c>
      <c r="J584" t="s">
        <v>2038</v>
      </c>
      <c r="K584" t="s">
        <v>2038</v>
      </c>
    </row>
    <row r="585" spans="1:12" ht="16" x14ac:dyDescent="0.2">
      <c r="A585" t="s">
        <v>847</v>
      </c>
      <c r="B585">
        <v>918</v>
      </c>
      <c r="C585" s="5">
        <v>98.332999999999998</v>
      </c>
      <c r="D585">
        <v>0</v>
      </c>
      <c r="E585" t="s">
        <v>10</v>
      </c>
      <c r="F585" t="s">
        <v>10</v>
      </c>
      <c r="G585" t="s">
        <v>848</v>
      </c>
      <c r="H585" t="str">
        <f>LEFT(I585, FIND(" sp.", I585) - 1)</f>
        <v>Limoniidae</v>
      </c>
      <c r="I585" t="s">
        <v>849</v>
      </c>
      <c r="J585" t="s">
        <v>2038</v>
      </c>
      <c r="K585" t="s">
        <v>2038</v>
      </c>
    </row>
    <row r="586" spans="1:12" ht="16" x14ac:dyDescent="0.2">
      <c r="A586" t="s">
        <v>1372</v>
      </c>
      <c r="B586">
        <v>1622</v>
      </c>
      <c r="C586" s="5">
        <v>98.332999999999998</v>
      </c>
      <c r="D586">
        <v>4.6189999999999998</v>
      </c>
      <c r="E586" t="s">
        <v>241</v>
      </c>
      <c r="F586" t="s">
        <v>349</v>
      </c>
      <c r="G586" t="s">
        <v>350</v>
      </c>
      <c r="H586" t="s">
        <v>351</v>
      </c>
      <c r="I586" t="s">
        <v>352</v>
      </c>
      <c r="J586" t="s">
        <v>2038</v>
      </c>
      <c r="K586" t="s">
        <v>2038</v>
      </c>
    </row>
    <row r="587" spans="1:12" ht="16" x14ac:dyDescent="0.2">
      <c r="A587" t="s">
        <v>1456</v>
      </c>
      <c r="B587">
        <v>1783</v>
      </c>
      <c r="C587" s="5">
        <v>98.332999999999998</v>
      </c>
      <c r="D587">
        <v>9.0000000000003393E-3</v>
      </c>
      <c r="E587" t="s">
        <v>10</v>
      </c>
      <c r="F587" t="s">
        <v>10</v>
      </c>
      <c r="G587" t="s">
        <v>1457</v>
      </c>
      <c r="H587" t="s">
        <v>226</v>
      </c>
      <c r="I587" t="s">
        <v>1414</v>
      </c>
      <c r="J587" t="s">
        <v>2037</v>
      </c>
      <c r="K587" t="s">
        <v>2037</v>
      </c>
      <c r="L587" t="s">
        <v>10</v>
      </c>
    </row>
    <row r="588" spans="1:12" ht="16" x14ac:dyDescent="0.2">
      <c r="A588" t="s">
        <v>1780</v>
      </c>
      <c r="B588">
        <v>2192</v>
      </c>
      <c r="C588" s="5">
        <v>98.343000000000004</v>
      </c>
      <c r="D588">
        <v>0.55299999999999705</v>
      </c>
      <c r="E588" t="s">
        <v>10</v>
      </c>
      <c r="F588" t="s">
        <v>10</v>
      </c>
      <c r="G588" t="s">
        <v>10</v>
      </c>
      <c r="H588" t="s">
        <v>390</v>
      </c>
      <c r="I588" t="s">
        <v>391</v>
      </c>
      <c r="J588" t="s">
        <v>2038</v>
      </c>
      <c r="K588" t="s">
        <v>2038</v>
      </c>
      <c r="L588" t="s">
        <v>2040</v>
      </c>
    </row>
    <row r="589" spans="1:12" ht="16" x14ac:dyDescent="0.2">
      <c r="A589" t="s">
        <v>629</v>
      </c>
      <c r="B589">
        <v>633</v>
      </c>
      <c r="C589" s="5">
        <v>98.343000000000004</v>
      </c>
      <c r="D589">
        <v>5.5250000000000101</v>
      </c>
      <c r="E589" t="s">
        <v>118</v>
      </c>
      <c r="F589" t="s">
        <v>10</v>
      </c>
      <c r="J589" t="s">
        <v>2038</v>
      </c>
      <c r="K589" t="s">
        <v>2038</v>
      </c>
      <c r="L589" t="s">
        <v>2040</v>
      </c>
    </row>
    <row r="590" spans="1:12" ht="16" x14ac:dyDescent="0.2">
      <c r="A590" t="s">
        <v>612</v>
      </c>
      <c r="B590">
        <v>619</v>
      </c>
      <c r="C590" s="5">
        <v>98.343000000000004</v>
      </c>
      <c r="D590">
        <v>0</v>
      </c>
      <c r="E590" t="s">
        <v>11</v>
      </c>
      <c r="F590" t="s">
        <v>11</v>
      </c>
      <c r="G590" t="s">
        <v>613</v>
      </c>
      <c r="H590" t="s">
        <v>614</v>
      </c>
      <c r="I590" t="s">
        <v>615</v>
      </c>
      <c r="J590" t="s">
        <v>2038</v>
      </c>
      <c r="K590" t="s">
        <v>2038</v>
      </c>
      <c r="L590" t="s">
        <v>10</v>
      </c>
    </row>
    <row r="591" spans="1:12" ht="16" x14ac:dyDescent="0.2">
      <c r="A591" t="s">
        <v>1416</v>
      </c>
      <c r="B591">
        <v>1700</v>
      </c>
      <c r="C591" s="5">
        <v>98.343000000000004</v>
      </c>
      <c r="D591">
        <v>2.7630000000000101</v>
      </c>
      <c r="E591" t="s">
        <v>10</v>
      </c>
      <c r="F591" t="s">
        <v>10</v>
      </c>
      <c r="G591" t="s">
        <v>10</v>
      </c>
      <c r="H591" t="s">
        <v>310</v>
      </c>
      <c r="I591" t="s">
        <v>311</v>
      </c>
      <c r="J591" t="s">
        <v>2038</v>
      </c>
      <c r="K591" t="s">
        <v>2038</v>
      </c>
      <c r="L591" t="s">
        <v>10</v>
      </c>
    </row>
    <row r="592" spans="1:12" ht="16" x14ac:dyDescent="0.2">
      <c r="A592" t="s">
        <v>1770</v>
      </c>
      <c r="B592">
        <v>2182</v>
      </c>
      <c r="C592" s="5">
        <v>98.343000000000004</v>
      </c>
      <c r="D592">
        <v>98.343000000000004</v>
      </c>
      <c r="H592" t="s">
        <v>1771</v>
      </c>
      <c r="I592" t="s">
        <v>1772</v>
      </c>
      <c r="J592" t="s">
        <v>2038</v>
      </c>
      <c r="K592" t="s">
        <v>2038</v>
      </c>
      <c r="L592" t="s">
        <v>10</v>
      </c>
    </row>
    <row r="593" spans="1:12" ht="16" x14ac:dyDescent="0.2">
      <c r="A593" t="s">
        <v>1273</v>
      </c>
      <c r="B593">
        <v>1535</v>
      </c>
      <c r="C593" s="5">
        <v>98.343000000000004</v>
      </c>
      <c r="D593">
        <v>7.2320000000000002</v>
      </c>
      <c r="E593" t="s">
        <v>11</v>
      </c>
      <c r="F593" t="s">
        <v>10</v>
      </c>
      <c r="G593" t="s">
        <v>1274</v>
      </c>
      <c r="H593" t="str">
        <f>LEFT(I593, FIND(" sp.", I593) - 1)</f>
        <v>Coccinellidae</v>
      </c>
      <c r="I593" t="s">
        <v>1275</v>
      </c>
      <c r="J593" t="s">
        <v>2038</v>
      </c>
      <c r="K593" t="s">
        <v>2038</v>
      </c>
      <c r="L593" t="s">
        <v>10</v>
      </c>
    </row>
    <row r="594" spans="1:12" ht="16" x14ac:dyDescent="0.2">
      <c r="A594" t="s">
        <v>494</v>
      </c>
      <c r="B594">
        <v>468</v>
      </c>
      <c r="C594" s="5">
        <v>98.343000000000004</v>
      </c>
      <c r="D594">
        <v>0.55299999999999705</v>
      </c>
      <c r="E594" t="s">
        <v>241</v>
      </c>
      <c r="F594" t="s">
        <v>495</v>
      </c>
      <c r="G594" t="s">
        <v>496</v>
      </c>
      <c r="H594" t="s">
        <v>497</v>
      </c>
      <c r="I594" t="s">
        <v>498</v>
      </c>
      <c r="J594" t="s">
        <v>2038</v>
      </c>
      <c r="K594" t="s">
        <v>2038</v>
      </c>
      <c r="L594" t="s">
        <v>10</v>
      </c>
    </row>
    <row r="595" spans="1:12" ht="16" x14ac:dyDescent="0.2">
      <c r="A595" t="s">
        <v>1302</v>
      </c>
      <c r="B595">
        <v>1553</v>
      </c>
      <c r="C595" s="5">
        <v>98.343000000000004</v>
      </c>
      <c r="D595">
        <v>1.00000000000051E-2</v>
      </c>
      <c r="E595" t="s">
        <v>10</v>
      </c>
      <c r="F595" t="s">
        <v>10</v>
      </c>
      <c r="G595" t="s">
        <v>1303</v>
      </c>
      <c r="H595" t="s">
        <v>1304</v>
      </c>
      <c r="I595" t="s">
        <v>1305</v>
      </c>
      <c r="J595" t="s">
        <v>2038</v>
      </c>
      <c r="K595" t="s">
        <v>2038</v>
      </c>
      <c r="L595" t="s">
        <v>10</v>
      </c>
    </row>
    <row r="596" spans="1:12" ht="16" x14ac:dyDescent="0.2">
      <c r="A596" t="s">
        <v>1138</v>
      </c>
      <c r="B596">
        <v>1350</v>
      </c>
      <c r="C596" s="5">
        <v>98.343000000000004</v>
      </c>
      <c r="D596">
        <v>0</v>
      </c>
      <c r="H596" t="s">
        <v>552</v>
      </c>
      <c r="I596" t="s">
        <v>553</v>
      </c>
      <c r="J596" t="s">
        <v>2038</v>
      </c>
      <c r="K596" t="s">
        <v>2038</v>
      </c>
      <c r="L596" t="s">
        <v>10</v>
      </c>
    </row>
    <row r="597" spans="1:12" ht="16" x14ac:dyDescent="0.2">
      <c r="A597" t="s">
        <v>588</v>
      </c>
      <c r="B597">
        <v>601</v>
      </c>
      <c r="C597" s="5">
        <v>98.343000000000004</v>
      </c>
      <c r="D597">
        <v>0.55299999999999705</v>
      </c>
      <c r="E597" t="s">
        <v>10</v>
      </c>
      <c r="F597" t="s">
        <v>11</v>
      </c>
      <c r="G597" t="s">
        <v>589</v>
      </c>
      <c r="H597" t="s">
        <v>590</v>
      </c>
      <c r="I597" t="s">
        <v>591</v>
      </c>
      <c r="J597" t="s">
        <v>2038</v>
      </c>
      <c r="K597" t="s">
        <v>2038</v>
      </c>
      <c r="L597" t="s">
        <v>10</v>
      </c>
    </row>
    <row r="598" spans="1:12" ht="16" x14ac:dyDescent="0.2">
      <c r="A598" t="s">
        <v>976</v>
      </c>
      <c r="B598">
        <v>1134</v>
      </c>
      <c r="C598" s="5">
        <v>98.343000000000004</v>
      </c>
      <c r="D598">
        <v>4.9729999999999999</v>
      </c>
      <c r="E598" t="s">
        <v>10</v>
      </c>
      <c r="F598" t="s">
        <v>10</v>
      </c>
      <c r="G598" t="s">
        <v>977</v>
      </c>
      <c r="H598" t="s">
        <v>978</v>
      </c>
      <c r="I598" t="s">
        <v>979</v>
      </c>
      <c r="J598" t="s">
        <v>2038</v>
      </c>
      <c r="K598" t="s">
        <v>2038</v>
      </c>
      <c r="L598" t="s">
        <v>10</v>
      </c>
    </row>
    <row r="599" spans="1:12" ht="16" x14ac:dyDescent="0.2">
      <c r="A599" t="s">
        <v>618</v>
      </c>
      <c r="B599">
        <v>625</v>
      </c>
      <c r="C599" s="5">
        <v>98.343000000000004</v>
      </c>
      <c r="D599">
        <v>1.00000000000051E-2</v>
      </c>
      <c r="E599" t="s">
        <v>11</v>
      </c>
      <c r="F599" t="s">
        <v>11</v>
      </c>
      <c r="G599" t="s">
        <v>619</v>
      </c>
      <c r="H599" t="s">
        <v>620</v>
      </c>
      <c r="I599" t="s">
        <v>621</v>
      </c>
      <c r="J599" t="s">
        <v>2038</v>
      </c>
      <c r="K599" t="s">
        <v>2038</v>
      </c>
      <c r="L599" t="s">
        <v>10</v>
      </c>
    </row>
    <row r="600" spans="1:12" ht="16" x14ac:dyDescent="0.2">
      <c r="A600" t="s">
        <v>1239</v>
      </c>
      <c r="B600">
        <v>1484</v>
      </c>
      <c r="C600" s="5">
        <v>98.343000000000004</v>
      </c>
      <c r="D600">
        <v>98.343000000000004</v>
      </c>
      <c r="H600" t="s">
        <v>170</v>
      </c>
      <c r="I600" t="s">
        <v>171</v>
      </c>
      <c r="J600" t="s">
        <v>2038</v>
      </c>
      <c r="K600" t="s">
        <v>2038</v>
      </c>
      <c r="L600" t="s">
        <v>10</v>
      </c>
    </row>
    <row r="601" spans="1:12" ht="16" x14ac:dyDescent="0.2">
      <c r="A601" t="s">
        <v>1556</v>
      </c>
      <c r="B601">
        <v>1907</v>
      </c>
      <c r="C601" s="5">
        <v>98.343000000000004</v>
      </c>
      <c r="D601">
        <v>1.00000000000051E-2</v>
      </c>
      <c r="E601" t="s">
        <v>10</v>
      </c>
      <c r="F601" t="s">
        <v>10</v>
      </c>
      <c r="G601" t="s">
        <v>10</v>
      </c>
      <c r="H601" t="s">
        <v>291</v>
      </c>
      <c r="I601" t="s">
        <v>292</v>
      </c>
      <c r="J601" t="s">
        <v>2038</v>
      </c>
      <c r="K601" t="s">
        <v>2038</v>
      </c>
      <c r="L601" t="s">
        <v>10</v>
      </c>
    </row>
    <row r="602" spans="1:12" ht="16" x14ac:dyDescent="0.2">
      <c r="A602" t="s">
        <v>339</v>
      </c>
      <c r="B602">
        <v>253</v>
      </c>
      <c r="C602" s="5">
        <v>98.343000000000004</v>
      </c>
      <c r="D602">
        <v>0</v>
      </c>
      <c r="E602" t="s">
        <v>10</v>
      </c>
      <c r="F602" t="s">
        <v>10</v>
      </c>
      <c r="G602" t="s">
        <v>148</v>
      </c>
      <c r="H602" t="s">
        <v>149</v>
      </c>
      <c r="I602" t="s">
        <v>150</v>
      </c>
      <c r="J602" t="s">
        <v>2038</v>
      </c>
      <c r="K602" t="s">
        <v>2038</v>
      </c>
      <c r="L602" t="s">
        <v>10</v>
      </c>
    </row>
    <row r="603" spans="1:12" ht="16" x14ac:dyDescent="0.2">
      <c r="A603" t="s">
        <v>509</v>
      </c>
      <c r="B603">
        <v>485</v>
      </c>
      <c r="C603" s="5">
        <v>98.343000000000004</v>
      </c>
      <c r="D603">
        <v>0</v>
      </c>
      <c r="E603" t="s">
        <v>10</v>
      </c>
      <c r="F603" t="s">
        <v>10</v>
      </c>
      <c r="G603" t="s">
        <v>148</v>
      </c>
      <c r="H603" t="s">
        <v>149</v>
      </c>
      <c r="I603" t="s">
        <v>150</v>
      </c>
      <c r="J603" t="s">
        <v>2038</v>
      </c>
      <c r="K603" t="s">
        <v>2038</v>
      </c>
      <c r="L603" t="s">
        <v>10</v>
      </c>
    </row>
    <row r="604" spans="1:12" ht="16" x14ac:dyDescent="0.2">
      <c r="A604" t="s">
        <v>1658</v>
      </c>
      <c r="B604">
        <v>2040</v>
      </c>
      <c r="C604" s="5">
        <v>98.343000000000004</v>
      </c>
      <c r="D604">
        <v>0</v>
      </c>
      <c r="E604" t="s">
        <v>10</v>
      </c>
      <c r="F604" t="s">
        <v>11</v>
      </c>
      <c r="G604" t="s">
        <v>1659</v>
      </c>
      <c r="H604" t="s">
        <v>1660</v>
      </c>
      <c r="I604" t="s">
        <v>1661</v>
      </c>
      <c r="J604" t="s">
        <v>2038</v>
      </c>
      <c r="K604" t="s">
        <v>2038</v>
      </c>
    </row>
    <row r="605" spans="1:12" ht="16" x14ac:dyDescent="0.2">
      <c r="A605" t="s">
        <v>1874</v>
      </c>
      <c r="B605">
        <v>2309</v>
      </c>
      <c r="C605" s="5">
        <v>98.343000000000004</v>
      </c>
      <c r="D605">
        <v>0</v>
      </c>
      <c r="E605" t="s">
        <v>10</v>
      </c>
      <c r="F605" t="s">
        <v>10</v>
      </c>
      <c r="H605" t="s">
        <v>1875</v>
      </c>
      <c r="I605" t="s">
        <v>1876</v>
      </c>
      <c r="J605" t="s">
        <v>2038</v>
      </c>
      <c r="K605" t="s">
        <v>2038</v>
      </c>
    </row>
    <row r="606" spans="1:12" ht="16" x14ac:dyDescent="0.2">
      <c r="A606" t="s">
        <v>249</v>
      </c>
      <c r="B606">
        <v>175</v>
      </c>
      <c r="C606" s="5">
        <v>98.343000000000004</v>
      </c>
      <c r="D606">
        <v>1.105</v>
      </c>
      <c r="E606" t="s">
        <v>10</v>
      </c>
      <c r="F606" t="s">
        <v>250</v>
      </c>
      <c r="G606" t="s">
        <v>251</v>
      </c>
      <c r="H606" t="s">
        <v>252</v>
      </c>
      <c r="I606" t="s">
        <v>253</v>
      </c>
      <c r="J606" t="s">
        <v>2038</v>
      </c>
      <c r="K606" t="s">
        <v>2038</v>
      </c>
    </row>
    <row r="607" spans="1:12" ht="16" x14ac:dyDescent="0.2">
      <c r="A607" t="s">
        <v>1438</v>
      </c>
      <c r="B607">
        <v>1747</v>
      </c>
      <c r="C607" s="5">
        <v>98.343000000000004</v>
      </c>
      <c r="D607">
        <v>0.55299999999999705</v>
      </c>
      <c r="E607" t="s">
        <v>10</v>
      </c>
      <c r="F607" t="s">
        <v>10</v>
      </c>
      <c r="G607" t="s">
        <v>10</v>
      </c>
      <c r="H607" t="s">
        <v>138</v>
      </c>
      <c r="I607" t="s">
        <v>137</v>
      </c>
      <c r="J607" t="s">
        <v>2038</v>
      </c>
      <c r="K607" t="s">
        <v>2038</v>
      </c>
    </row>
    <row r="608" spans="1:12" ht="16" x14ac:dyDescent="0.2">
      <c r="A608" t="s">
        <v>1630</v>
      </c>
      <c r="B608">
        <v>1995</v>
      </c>
      <c r="C608" s="5">
        <v>98.343000000000004</v>
      </c>
      <c r="D608">
        <v>0</v>
      </c>
      <c r="E608" t="s">
        <v>10</v>
      </c>
      <c r="F608" t="s">
        <v>10</v>
      </c>
      <c r="G608" t="s">
        <v>1631</v>
      </c>
      <c r="H608" t="s">
        <v>1304</v>
      </c>
      <c r="I608" t="s">
        <v>1632</v>
      </c>
      <c r="J608" t="s">
        <v>2038</v>
      </c>
      <c r="K608" t="s">
        <v>2038</v>
      </c>
    </row>
    <row r="609" spans="1:12" ht="16" x14ac:dyDescent="0.2">
      <c r="A609" t="s">
        <v>1286</v>
      </c>
      <c r="B609">
        <v>1543</v>
      </c>
      <c r="C609" s="5">
        <v>98.343000000000004</v>
      </c>
      <c r="D609">
        <v>0.195000000000007</v>
      </c>
      <c r="E609" t="s">
        <v>10</v>
      </c>
      <c r="F609" t="s">
        <v>11</v>
      </c>
      <c r="G609" t="s">
        <v>899</v>
      </c>
      <c r="H609" t="s">
        <v>60</v>
      </c>
      <c r="I609" t="s">
        <v>61</v>
      </c>
      <c r="J609" t="s">
        <v>2037</v>
      </c>
      <c r="K609" t="s">
        <v>2037</v>
      </c>
      <c r="L609" t="s">
        <v>2040</v>
      </c>
    </row>
    <row r="610" spans="1:12" ht="16" x14ac:dyDescent="0.2">
      <c r="A610" t="s">
        <v>1238</v>
      </c>
      <c r="B610">
        <v>1483</v>
      </c>
      <c r="C610" s="5">
        <v>98.352000000000004</v>
      </c>
      <c r="D610">
        <v>0.54999999999999705</v>
      </c>
      <c r="E610" t="s">
        <v>10</v>
      </c>
      <c r="F610" t="s">
        <v>10</v>
      </c>
      <c r="G610" t="s">
        <v>10</v>
      </c>
      <c r="H610" t="s">
        <v>418</v>
      </c>
      <c r="I610" t="s">
        <v>419</v>
      </c>
      <c r="J610" t="s">
        <v>2038</v>
      </c>
      <c r="K610" t="s">
        <v>2038</v>
      </c>
    </row>
    <row r="611" spans="1:12" ht="16" x14ac:dyDescent="0.2">
      <c r="A611" t="s">
        <v>1554</v>
      </c>
      <c r="B611">
        <v>1903</v>
      </c>
      <c r="C611" s="5">
        <v>98.387</v>
      </c>
      <c r="D611">
        <v>98.387</v>
      </c>
      <c r="H611" t="s">
        <v>658</v>
      </c>
      <c r="I611" t="s">
        <v>659</v>
      </c>
      <c r="J611" t="s">
        <v>2038</v>
      </c>
      <c r="K611" t="s">
        <v>2038</v>
      </c>
      <c r="L611" t="s">
        <v>10</v>
      </c>
    </row>
    <row r="612" spans="1:12" ht="16" x14ac:dyDescent="0.2">
      <c r="A612" t="s">
        <v>1398</v>
      </c>
      <c r="B612">
        <v>1669</v>
      </c>
      <c r="C612" s="5">
        <v>98.837000000000003</v>
      </c>
      <c r="D612">
        <v>9.4999999999998905E-2</v>
      </c>
      <c r="E612" t="s">
        <v>10</v>
      </c>
      <c r="F612" t="s">
        <v>10</v>
      </c>
      <c r="G612" t="s">
        <v>10</v>
      </c>
      <c r="H612" t="s">
        <v>149</v>
      </c>
      <c r="I612" t="s">
        <v>180</v>
      </c>
      <c r="J612" t="s">
        <v>2038</v>
      </c>
      <c r="K612" t="s">
        <v>2038</v>
      </c>
      <c r="L612" t="s">
        <v>10</v>
      </c>
    </row>
    <row r="613" spans="1:12" ht="16" x14ac:dyDescent="0.2">
      <c r="A613" t="s">
        <v>1233</v>
      </c>
      <c r="B613">
        <v>1482</v>
      </c>
      <c r="C613" s="5">
        <v>98.882999999999996</v>
      </c>
      <c r="D613">
        <v>0</v>
      </c>
      <c r="E613" t="s">
        <v>1234</v>
      </c>
      <c r="F613" t="s">
        <v>1235</v>
      </c>
      <c r="G613" t="s">
        <v>1236</v>
      </c>
      <c r="H613" t="str">
        <f>LEFT(I613, FIND(" sp.", I613) - 1)</f>
        <v>Chilopoda</v>
      </c>
      <c r="I613" t="s">
        <v>1237</v>
      </c>
      <c r="J613" t="s">
        <v>2038</v>
      </c>
      <c r="K613" t="s">
        <v>2038</v>
      </c>
      <c r="L613" t="s">
        <v>10</v>
      </c>
    </row>
    <row r="614" spans="1:12" ht="16" x14ac:dyDescent="0.2">
      <c r="A614" t="s">
        <v>1067</v>
      </c>
      <c r="B614">
        <v>1270</v>
      </c>
      <c r="C614" s="5">
        <v>98.882999999999996</v>
      </c>
      <c r="D614">
        <v>98.882999999999996</v>
      </c>
      <c r="H614" t="s">
        <v>329</v>
      </c>
      <c r="I614" t="s">
        <v>330</v>
      </c>
      <c r="J614" t="s">
        <v>2038</v>
      </c>
      <c r="K614" t="s">
        <v>2038</v>
      </c>
      <c r="L614" t="s">
        <v>10</v>
      </c>
    </row>
    <row r="615" spans="1:12" ht="16" x14ac:dyDescent="0.2">
      <c r="A615" t="s">
        <v>1534</v>
      </c>
      <c r="B615">
        <v>1886</v>
      </c>
      <c r="C615" s="5">
        <v>98.888999999999996</v>
      </c>
      <c r="D615">
        <v>0.55599999999999705</v>
      </c>
      <c r="E615" t="s">
        <v>10</v>
      </c>
      <c r="F615" t="s">
        <v>10</v>
      </c>
      <c r="G615" t="s">
        <v>1535</v>
      </c>
      <c r="H615" t="s">
        <v>176</v>
      </c>
      <c r="I615" t="s">
        <v>1536</v>
      </c>
      <c r="J615" t="s">
        <v>2038</v>
      </c>
      <c r="K615" t="s">
        <v>2038</v>
      </c>
      <c r="L615" t="s">
        <v>10</v>
      </c>
    </row>
    <row r="616" spans="1:12" ht="16" x14ac:dyDescent="0.2">
      <c r="A616" t="s">
        <v>208</v>
      </c>
      <c r="B616">
        <v>150</v>
      </c>
      <c r="C616" s="5">
        <v>98.888999999999996</v>
      </c>
      <c r="D616">
        <v>7.2689999999999904</v>
      </c>
      <c r="E616" t="s">
        <v>209</v>
      </c>
      <c r="F616" t="s">
        <v>10</v>
      </c>
      <c r="G616" t="s">
        <v>210</v>
      </c>
      <c r="H616" t="str">
        <f>LEFT(I616, FIND(" sp.", I616) - 1)</f>
        <v>Staphylinidae</v>
      </c>
      <c r="I616" t="s">
        <v>211</v>
      </c>
      <c r="J616" t="s">
        <v>2038</v>
      </c>
      <c r="K616" t="s">
        <v>2038</v>
      </c>
      <c r="L616" t="s">
        <v>10</v>
      </c>
    </row>
    <row r="617" spans="1:12" ht="16" x14ac:dyDescent="0.2">
      <c r="A617" t="s">
        <v>1445</v>
      </c>
      <c r="B617">
        <v>1766</v>
      </c>
      <c r="C617" s="5">
        <v>98.888999999999996</v>
      </c>
      <c r="D617">
        <v>1.667</v>
      </c>
      <c r="E617" t="s">
        <v>10</v>
      </c>
      <c r="F617" t="s">
        <v>10</v>
      </c>
      <c r="G617" t="s">
        <v>10</v>
      </c>
      <c r="H617" t="s">
        <v>418</v>
      </c>
      <c r="I617" t="s">
        <v>419</v>
      </c>
      <c r="J617" t="s">
        <v>2038</v>
      </c>
      <c r="K617" t="s">
        <v>2038</v>
      </c>
    </row>
    <row r="618" spans="1:12" ht="16" x14ac:dyDescent="0.2">
      <c r="A618" t="s">
        <v>348</v>
      </c>
      <c r="B618">
        <v>266</v>
      </c>
      <c r="C618" s="5">
        <v>98.888999999999996</v>
      </c>
      <c r="D618">
        <v>4.60299999999999</v>
      </c>
      <c r="E618" t="s">
        <v>241</v>
      </c>
      <c r="F618" t="s">
        <v>349</v>
      </c>
      <c r="G618" t="s">
        <v>350</v>
      </c>
      <c r="H618" t="s">
        <v>351</v>
      </c>
      <c r="I618" t="s">
        <v>352</v>
      </c>
      <c r="J618" t="s">
        <v>2038</v>
      </c>
      <c r="K618" t="s">
        <v>2038</v>
      </c>
    </row>
    <row r="619" spans="1:12" ht="16" x14ac:dyDescent="0.2">
      <c r="A619" t="s">
        <v>1837</v>
      </c>
      <c r="B619">
        <v>2261</v>
      </c>
      <c r="C619" s="5">
        <v>98.894999999999996</v>
      </c>
      <c r="D619">
        <v>98.894999999999996</v>
      </c>
      <c r="H619" t="s">
        <v>355</v>
      </c>
      <c r="I619" t="s">
        <v>356</v>
      </c>
      <c r="J619" t="s">
        <v>2038</v>
      </c>
      <c r="K619" t="s">
        <v>2038</v>
      </c>
      <c r="L619" t="s">
        <v>2040</v>
      </c>
    </row>
    <row r="620" spans="1:12" ht="16" x14ac:dyDescent="0.2">
      <c r="A620" t="s">
        <v>1617</v>
      </c>
      <c r="B620">
        <v>1979</v>
      </c>
      <c r="C620" s="5">
        <v>98.894999999999996</v>
      </c>
      <c r="D620">
        <v>0.55199999999999205</v>
      </c>
      <c r="E620" t="s">
        <v>10</v>
      </c>
      <c r="F620" t="s">
        <v>10</v>
      </c>
      <c r="G620" t="s">
        <v>10</v>
      </c>
      <c r="H620" t="s">
        <v>390</v>
      </c>
      <c r="I620" t="s">
        <v>391</v>
      </c>
      <c r="J620" t="s">
        <v>2038</v>
      </c>
      <c r="K620" t="s">
        <v>2038</v>
      </c>
      <c r="L620" t="s">
        <v>2040</v>
      </c>
    </row>
    <row r="621" spans="1:12" ht="16" x14ac:dyDescent="0.2">
      <c r="A621" t="s">
        <v>1329</v>
      </c>
      <c r="B621">
        <v>1570</v>
      </c>
      <c r="C621" s="5">
        <v>98.894999999999996</v>
      </c>
      <c r="D621">
        <v>6.63</v>
      </c>
      <c r="E621" t="s">
        <v>118</v>
      </c>
      <c r="F621" t="s">
        <v>10</v>
      </c>
      <c r="J621" t="s">
        <v>2038</v>
      </c>
      <c r="K621" t="s">
        <v>2038</v>
      </c>
      <c r="L621" t="s">
        <v>2040</v>
      </c>
    </row>
    <row r="622" spans="1:12" ht="16" x14ac:dyDescent="0.2">
      <c r="A622" t="s">
        <v>572</v>
      </c>
      <c r="B622">
        <v>578</v>
      </c>
      <c r="C622" s="5">
        <v>98.894999999999996</v>
      </c>
      <c r="D622">
        <v>5.5249999999999897</v>
      </c>
      <c r="E622" t="s">
        <v>118</v>
      </c>
      <c r="F622" t="s">
        <v>10</v>
      </c>
      <c r="J622" t="s">
        <v>2038</v>
      </c>
      <c r="K622" t="s">
        <v>2038</v>
      </c>
      <c r="L622" t="s">
        <v>2040</v>
      </c>
    </row>
    <row r="623" spans="1:12" ht="16" x14ac:dyDescent="0.2">
      <c r="A623" t="s">
        <v>893</v>
      </c>
      <c r="B623">
        <v>998</v>
      </c>
      <c r="C623" s="5">
        <v>98.894999999999996</v>
      </c>
      <c r="D623">
        <v>6.63</v>
      </c>
      <c r="E623" t="s">
        <v>118</v>
      </c>
      <c r="F623" t="s">
        <v>10</v>
      </c>
      <c r="J623" t="s">
        <v>2038</v>
      </c>
      <c r="K623" t="s">
        <v>2038</v>
      </c>
      <c r="L623" t="s">
        <v>2040</v>
      </c>
    </row>
    <row r="624" spans="1:12" ht="16" x14ac:dyDescent="0.2">
      <c r="A624" t="s">
        <v>1497</v>
      </c>
      <c r="B624">
        <v>1840</v>
      </c>
      <c r="C624" s="5">
        <v>98.894999999999996</v>
      </c>
      <c r="D624">
        <v>98.894999999999996</v>
      </c>
      <c r="H624" t="s">
        <v>372</v>
      </c>
      <c r="I624" t="s">
        <v>641</v>
      </c>
      <c r="J624" t="s">
        <v>2038</v>
      </c>
      <c r="K624" t="s">
        <v>2038</v>
      </c>
      <c r="L624" t="s">
        <v>10</v>
      </c>
    </row>
    <row r="625" spans="1:12" ht="16" x14ac:dyDescent="0.2">
      <c r="A625" t="s">
        <v>1641</v>
      </c>
      <c r="B625">
        <v>2008</v>
      </c>
      <c r="C625" s="5">
        <v>98.894999999999996</v>
      </c>
      <c r="D625">
        <v>0</v>
      </c>
      <c r="E625" t="s">
        <v>10</v>
      </c>
      <c r="H625" t="s">
        <v>1642</v>
      </c>
      <c r="I625" t="s">
        <v>1643</v>
      </c>
      <c r="J625" t="s">
        <v>2038</v>
      </c>
      <c r="K625" t="s">
        <v>2038</v>
      </c>
      <c r="L625" t="s">
        <v>10</v>
      </c>
    </row>
    <row r="626" spans="1:12" ht="16" x14ac:dyDescent="0.2">
      <c r="A626" t="s">
        <v>1016</v>
      </c>
      <c r="B626">
        <v>1193</v>
      </c>
      <c r="C626" s="5">
        <v>98.894999999999996</v>
      </c>
      <c r="D626">
        <v>98.894999999999996</v>
      </c>
      <c r="H626" t="s">
        <v>121</v>
      </c>
      <c r="I626" t="s">
        <v>122</v>
      </c>
      <c r="J626" t="s">
        <v>2038</v>
      </c>
      <c r="K626" t="s">
        <v>2038</v>
      </c>
      <c r="L626" t="s">
        <v>10</v>
      </c>
    </row>
    <row r="627" spans="1:12" ht="16" x14ac:dyDescent="0.2">
      <c r="A627" t="s">
        <v>1486</v>
      </c>
      <c r="B627">
        <v>1826</v>
      </c>
      <c r="C627" s="5">
        <v>98.894999999999996</v>
      </c>
      <c r="D627">
        <v>2.762</v>
      </c>
      <c r="E627" t="s">
        <v>10</v>
      </c>
      <c r="F627" t="s">
        <v>10</v>
      </c>
      <c r="G627" t="s">
        <v>1243</v>
      </c>
      <c r="H627" t="s">
        <v>176</v>
      </c>
      <c r="I627" t="s">
        <v>1244</v>
      </c>
      <c r="J627" t="s">
        <v>2038</v>
      </c>
      <c r="K627" t="s">
        <v>2038</v>
      </c>
      <c r="L627" t="s">
        <v>10</v>
      </c>
    </row>
    <row r="628" spans="1:12" ht="16" x14ac:dyDescent="0.2">
      <c r="A628" t="s">
        <v>1734</v>
      </c>
      <c r="B628">
        <v>2156</v>
      </c>
      <c r="C628" s="5">
        <v>98.894999999999996</v>
      </c>
      <c r="D628">
        <v>2.762</v>
      </c>
      <c r="E628" t="s">
        <v>10</v>
      </c>
      <c r="F628" t="s">
        <v>10</v>
      </c>
      <c r="G628" t="s">
        <v>1243</v>
      </c>
      <c r="H628" t="s">
        <v>176</v>
      </c>
      <c r="I628" t="s">
        <v>1244</v>
      </c>
      <c r="J628" t="s">
        <v>2038</v>
      </c>
      <c r="K628" t="s">
        <v>2038</v>
      </c>
      <c r="L628" t="s">
        <v>10</v>
      </c>
    </row>
    <row r="629" spans="1:12" ht="16" x14ac:dyDescent="0.2">
      <c r="A629" t="s">
        <v>1854</v>
      </c>
      <c r="B629">
        <v>2275</v>
      </c>
      <c r="C629" s="5">
        <v>98.894999999999996</v>
      </c>
      <c r="D629">
        <v>2.762</v>
      </c>
      <c r="E629" t="s">
        <v>10</v>
      </c>
      <c r="F629" t="s">
        <v>10</v>
      </c>
      <c r="G629" t="s">
        <v>1243</v>
      </c>
      <c r="H629" t="s">
        <v>176</v>
      </c>
      <c r="I629" t="s">
        <v>1244</v>
      </c>
      <c r="J629" t="s">
        <v>2038</v>
      </c>
      <c r="K629" t="s">
        <v>2038</v>
      </c>
      <c r="L629" t="s">
        <v>10</v>
      </c>
    </row>
    <row r="630" spans="1:12" ht="16" x14ac:dyDescent="0.2">
      <c r="A630" t="s">
        <v>1342</v>
      </c>
      <c r="B630">
        <v>1588</v>
      </c>
      <c r="C630" s="5">
        <v>98.894999999999996</v>
      </c>
      <c r="D630">
        <v>1.657</v>
      </c>
      <c r="E630" t="s">
        <v>10</v>
      </c>
      <c r="F630" t="s">
        <v>10</v>
      </c>
      <c r="G630" t="s">
        <v>632</v>
      </c>
      <c r="H630" t="s">
        <v>176</v>
      </c>
      <c r="I630" t="s">
        <v>633</v>
      </c>
      <c r="J630" t="s">
        <v>2038</v>
      </c>
      <c r="K630" t="s">
        <v>2038</v>
      </c>
      <c r="L630" t="s">
        <v>10</v>
      </c>
    </row>
    <row r="631" spans="1:12" ht="16" x14ac:dyDescent="0.2">
      <c r="A631" t="s">
        <v>441</v>
      </c>
      <c r="B631">
        <v>376</v>
      </c>
      <c r="C631" s="5">
        <v>98.894999999999996</v>
      </c>
      <c r="D631">
        <v>1.657</v>
      </c>
      <c r="E631" t="s">
        <v>11</v>
      </c>
      <c r="F631" t="s">
        <v>11</v>
      </c>
      <c r="G631" t="s">
        <v>88</v>
      </c>
      <c r="H631" t="s">
        <v>89</v>
      </c>
      <c r="I631" t="s">
        <v>90</v>
      </c>
      <c r="J631" t="s">
        <v>2038</v>
      </c>
      <c r="K631" t="s">
        <v>2038</v>
      </c>
      <c r="L631" t="s">
        <v>10</v>
      </c>
    </row>
    <row r="632" spans="1:12" ht="16" x14ac:dyDescent="0.2">
      <c r="A632" t="s">
        <v>846</v>
      </c>
      <c r="B632">
        <v>909</v>
      </c>
      <c r="C632" s="5">
        <v>98.894999999999996</v>
      </c>
      <c r="D632">
        <v>1.657</v>
      </c>
      <c r="E632" t="s">
        <v>11</v>
      </c>
      <c r="F632" t="s">
        <v>11</v>
      </c>
      <c r="G632" t="s">
        <v>88</v>
      </c>
      <c r="H632" t="s">
        <v>89</v>
      </c>
      <c r="I632" t="s">
        <v>90</v>
      </c>
      <c r="J632" t="s">
        <v>2038</v>
      </c>
      <c r="K632" t="s">
        <v>2038</v>
      </c>
      <c r="L632" t="s">
        <v>10</v>
      </c>
    </row>
    <row r="633" spans="1:12" ht="16" x14ac:dyDescent="0.2">
      <c r="A633" t="s">
        <v>1687</v>
      </c>
      <c r="B633">
        <v>2087</v>
      </c>
      <c r="C633" s="5">
        <v>98.894999999999996</v>
      </c>
      <c r="D633">
        <v>6.00000000000023E-3</v>
      </c>
      <c r="E633" t="s">
        <v>10</v>
      </c>
      <c r="F633" t="s">
        <v>10</v>
      </c>
      <c r="G633" t="s">
        <v>10</v>
      </c>
      <c r="H633" t="s">
        <v>238</v>
      </c>
      <c r="I633" t="s">
        <v>519</v>
      </c>
      <c r="J633" t="s">
        <v>2038</v>
      </c>
      <c r="K633" t="s">
        <v>2038</v>
      </c>
      <c r="L633" t="s">
        <v>10</v>
      </c>
    </row>
    <row r="634" spans="1:12" ht="16" x14ac:dyDescent="0.2">
      <c r="A634" t="s">
        <v>945</v>
      </c>
      <c r="B634">
        <v>1062</v>
      </c>
      <c r="C634" s="5">
        <v>98.894999999999996</v>
      </c>
      <c r="D634">
        <v>0.55199999999999205</v>
      </c>
      <c r="E634" t="s">
        <v>10</v>
      </c>
      <c r="F634" t="s">
        <v>946</v>
      </c>
      <c r="G634" t="s">
        <v>947</v>
      </c>
      <c r="H634" t="s">
        <v>948</v>
      </c>
      <c r="I634" t="s">
        <v>949</v>
      </c>
      <c r="J634" t="s">
        <v>2038</v>
      </c>
      <c r="K634" t="s">
        <v>2038</v>
      </c>
      <c r="L634" t="s">
        <v>10</v>
      </c>
    </row>
    <row r="635" spans="1:12" ht="16" x14ac:dyDescent="0.2">
      <c r="A635" t="s">
        <v>1015</v>
      </c>
      <c r="B635">
        <v>1191</v>
      </c>
      <c r="C635" s="5">
        <v>98.894999999999996</v>
      </c>
      <c r="D635">
        <v>0.55199999999999205</v>
      </c>
      <c r="E635" t="s">
        <v>10</v>
      </c>
      <c r="F635" t="s">
        <v>946</v>
      </c>
      <c r="G635" t="s">
        <v>947</v>
      </c>
      <c r="H635" t="s">
        <v>948</v>
      </c>
      <c r="I635" t="s">
        <v>949</v>
      </c>
      <c r="J635" t="s">
        <v>2038</v>
      </c>
      <c r="K635" t="s">
        <v>2038</v>
      </c>
      <c r="L635" t="s">
        <v>10</v>
      </c>
    </row>
    <row r="636" spans="1:12" ht="16" x14ac:dyDescent="0.2">
      <c r="A636" t="s">
        <v>1017</v>
      </c>
      <c r="B636">
        <v>1194</v>
      </c>
      <c r="C636" s="5">
        <v>98.894999999999996</v>
      </c>
      <c r="D636">
        <v>0.55199999999999205</v>
      </c>
      <c r="E636" t="s">
        <v>10</v>
      </c>
      <c r="F636" t="s">
        <v>946</v>
      </c>
      <c r="G636" t="s">
        <v>947</v>
      </c>
      <c r="H636" t="s">
        <v>948</v>
      </c>
      <c r="I636" t="s">
        <v>949</v>
      </c>
      <c r="J636" t="s">
        <v>2038</v>
      </c>
      <c r="K636" t="s">
        <v>2038</v>
      </c>
      <c r="L636" t="s">
        <v>10</v>
      </c>
    </row>
    <row r="637" spans="1:12" ht="16" x14ac:dyDescent="0.2">
      <c r="A637" t="s">
        <v>1367</v>
      </c>
      <c r="B637">
        <v>1617</v>
      </c>
      <c r="C637" s="5">
        <v>98.894999999999996</v>
      </c>
      <c r="D637">
        <v>1.10499999999999</v>
      </c>
      <c r="E637" t="s">
        <v>603</v>
      </c>
      <c r="F637" t="s">
        <v>1368</v>
      </c>
      <c r="G637" t="s">
        <v>1369</v>
      </c>
      <c r="H637" t="str">
        <f>LEFT(I637, FIND(" sp.", I637) - 1)</f>
        <v>Lepidoptera</v>
      </c>
      <c r="I637" t="s">
        <v>1370</v>
      </c>
      <c r="J637" t="s">
        <v>2038</v>
      </c>
      <c r="K637" t="s">
        <v>2038</v>
      </c>
      <c r="L637" t="s">
        <v>10</v>
      </c>
    </row>
    <row r="638" spans="1:12" ht="16" x14ac:dyDescent="0.2">
      <c r="A638" t="s">
        <v>1032</v>
      </c>
      <c r="B638">
        <v>1215</v>
      </c>
      <c r="C638" s="5">
        <v>98.894999999999996</v>
      </c>
      <c r="D638">
        <v>0</v>
      </c>
      <c r="H638" t="s">
        <v>552</v>
      </c>
      <c r="I638" t="s">
        <v>553</v>
      </c>
      <c r="J638" t="s">
        <v>2038</v>
      </c>
      <c r="K638" t="s">
        <v>2038</v>
      </c>
      <c r="L638" t="s">
        <v>10</v>
      </c>
    </row>
    <row r="639" spans="1:12" ht="16" x14ac:dyDescent="0.2">
      <c r="A639" t="s">
        <v>937</v>
      </c>
      <c r="B639">
        <v>1050</v>
      </c>
      <c r="C639" s="5">
        <v>98.894999999999996</v>
      </c>
      <c r="D639">
        <v>0</v>
      </c>
      <c r="E639" t="s">
        <v>10</v>
      </c>
      <c r="F639" t="s">
        <v>10</v>
      </c>
      <c r="G639" t="s">
        <v>591</v>
      </c>
      <c r="H639" t="s">
        <v>590</v>
      </c>
      <c r="I639" t="s">
        <v>938</v>
      </c>
      <c r="J639" t="s">
        <v>2038</v>
      </c>
      <c r="K639" t="s">
        <v>2038</v>
      </c>
      <c r="L639" t="s">
        <v>10</v>
      </c>
    </row>
    <row r="640" spans="1:12" ht="16" x14ac:dyDescent="0.2">
      <c r="A640" t="s">
        <v>412</v>
      </c>
      <c r="B640">
        <v>334</v>
      </c>
      <c r="C640" s="5">
        <v>98.894999999999996</v>
      </c>
      <c r="D640">
        <v>98.894999999999996</v>
      </c>
      <c r="H640" t="s">
        <v>170</v>
      </c>
      <c r="I640" t="s">
        <v>171</v>
      </c>
      <c r="J640" t="s">
        <v>2038</v>
      </c>
      <c r="K640" t="s">
        <v>2038</v>
      </c>
      <c r="L640" t="s">
        <v>10</v>
      </c>
    </row>
    <row r="641" spans="1:12" ht="16" x14ac:dyDescent="0.2">
      <c r="A641" t="s">
        <v>1219</v>
      </c>
      <c r="B641">
        <v>1463</v>
      </c>
      <c r="C641" s="5">
        <v>98.894999999999996</v>
      </c>
      <c r="D641">
        <v>6.00000000000023E-3</v>
      </c>
      <c r="E641" t="s">
        <v>10</v>
      </c>
      <c r="F641" t="s">
        <v>10</v>
      </c>
      <c r="G641" t="s">
        <v>10</v>
      </c>
      <c r="H641" t="s">
        <v>291</v>
      </c>
      <c r="I641" t="s">
        <v>292</v>
      </c>
      <c r="J641" t="s">
        <v>2038</v>
      </c>
      <c r="K641" t="s">
        <v>2038</v>
      </c>
      <c r="L641" t="s">
        <v>10</v>
      </c>
    </row>
    <row r="642" spans="1:12" ht="16" x14ac:dyDescent="0.2">
      <c r="A642" t="s">
        <v>742</v>
      </c>
      <c r="B642">
        <v>765</v>
      </c>
      <c r="C642" s="5">
        <v>98.894999999999996</v>
      </c>
      <c r="D642">
        <v>6.00000000000023E-3</v>
      </c>
      <c r="E642" t="s">
        <v>10</v>
      </c>
      <c r="F642" t="s">
        <v>10</v>
      </c>
      <c r="G642" t="s">
        <v>10</v>
      </c>
      <c r="H642" t="s">
        <v>291</v>
      </c>
      <c r="I642" t="s">
        <v>292</v>
      </c>
      <c r="J642" t="s">
        <v>2038</v>
      </c>
      <c r="K642" t="s">
        <v>2038</v>
      </c>
      <c r="L642" t="s">
        <v>10</v>
      </c>
    </row>
    <row r="643" spans="1:12" ht="16" x14ac:dyDescent="0.2">
      <c r="A643" t="s">
        <v>803</v>
      </c>
      <c r="B643">
        <v>858</v>
      </c>
      <c r="C643" s="5">
        <v>98.894999999999996</v>
      </c>
      <c r="D643">
        <v>6.00000000000023E-3</v>
      </c>
      <c r="E643" t="s">
        <v>10</v>
      </c>
      <c r="F643" t="s">
        <v>10</v>
      </c>
      <c r="G643" t="s">
        <v>10</v>
      </c>
      <c r="H643" t="s">
        <v>291</v>
      </c>
      <c r="I643" t="s">
        <v>292</v>
      </c>
      <c r="J643" t="s">
        <v>2038</v>
      </c>
      <c r="K643" t="s">
        <v>2038</v>
      </c>
      <c r="L643" t="s">
        <v>10</v>
      </c>
    </row>
    <row r="644" spans="1:12" ht="16" x14ac:dyDescent="0.2">
      <c r="A644" t="s">
        <v>147</v>
      </c>
      <c r="B644">
        <v>80</v>
      </c>
      <c r="C644" s="5">
        <v>98.894999999999996</v>
      </c>
      <c r="D644">
        <v>0</v>
      </c>
      <c r="E644" t="s">
        <v>10</v>
      </c>
      <c r="F644" t="s">
        <v>10</v>
      </c>
      <c r="G644" t="s">
        <v>148</v>
      </c>
      <c r="H644" t="s">
        <v>149</v>
      </c>
      <c r="I644" t="s">
        <v>150</v>
      </c>
      <c r="J644" t="s">
        <v>2038</v>
      </c>
      <c r="K644" t="s">
        <v>2038</v>
      </c>
      <c r="L644" t="s">
        <v>10</v>
      </c>
    </row>
    <row r="645" spans="1:12" ht="16" x14ac:dyDescent="0.2">
      <c r="A645" t="s">
        <v>912</v>
      </c>
      <c r="B645">
        <v>1017</v>
      </c>
      <c r="C645" s="5">
        <v>98.894999999999996</v>
      </c>
      <c r="D645">
        <v>6.00000000000023E-3</v>
      </c>
      <c r="E645" t="s">
        <v>10</v>
      </c>
      <c r="F645" t="s">
        <v>10</v>
      </c>
      <c r="G645" t="s">
        <v>10</v>
      </c>
      <c r="H645" t="s">
        <v>12</v>
      </c>
      <c r="I645" t="s">
        <v>13</v>
      </c>
      <c r="J645" t="s">
        <v>2038</v>
      </c>
      <c r="K645" t="s">
        <v>2038</v>
      </c>
      <c r="L645" t="s">
        <v>10</v>
      </c>
    </row>
    <row r="646" spans="1:12" ht="16" x14ac:dyDescent="0.2">
      <c r="A646" t="s">
        <v>1451</v>
      </c>
      <c r="B646">
        <v>1778</v>
      </c>
      <c r="C646" s="5">
        <v>98.894999999999996</v>
      </c>
      <c r="D646">
        <v>6.00000000000023E-3</v>
      </c>
      <c r="E646" t="s">
        <v>10</v>
      </c>
      <c r="F646" t="s">
        <v>10</v>
      </c>
      <c r="G646" t="s">
        <v>10</v>
      </c>
      <c r="H646" t="s">
        <v>12</v>
      </c>
      <c r="I646" t="s">
        <v>13</v>
      </c>
      <c r="J646" t="s">
        <v>2038</v>
      </c>
      <c r="K646" t="s">
        <v>2038</v>
      </c>
      <c r="L646" t="s">
        <v>10</v>
      </c>
    </row>
    <row r="647" spans="1:12" ht="16" x14ac:dyDescent="0.2">
      <c r="A647" t="s">
        <v>1533</v>
      </c>
      <c r="B647">
        <v>1885</v>
      </c>
      <c r="C647" s="5">
        <v>98.894999999999996</v>
      </c>
      <c r="D647">
        <v>6.00000000000023E-3</v>
      </c>
      <c r="E647" t="s">
        <v>10</v>
      </c>
      <c r="F647" t="s">
        <v>10</v>
      </c>
      <c r="G647" t="s">
        <v>10</v>
      </c>
      <c r="H647" t="s">
        <v>12</v>
      </c>
      <c r="I647" t="s">
        <v>13</v>
      </c>
      <c r="J647" t="s">
        <v>2038</v>
      </c>
      <c r="K647" t="s">
        <v>2038</v>
      </c>
      <c r="L647" t="s">
        <v>10</v>
      </c>
    </row>
    <row r="648" spans="1:12" ht="16" x14ac:dyDescent="0.2">
      <c r="A648" t="s">
        <v>485</v>
      </c>
      <c r="B648">
        <v>438</v>
      </c>
      <c r="C648" s="5">
        <v>98.894999999999996</v>
      </c>
      <c r="D648">
        <v>6.00000000000023E-3</v>
      </c>
      <c r="E648" t="s">
        <v>10</v>
      </c>
      <c r="F648" t="s">
        <v>10</v>
      </c>
      <c r="G648" t="s">
        <v>10</v>
      </c>
      <c r="H648" t="s">
        <v>12</v>
      </c>
      <c r="I648" t="s">
        <v>13</v>
      </c>
      <c r="J648" t="s">
        <v>2038</v>
      </c>
      <c r="K648" t="s">
        <v>2038</v>
      </c>
      <c r="L648" t="s">
        <v>10</v>
      </c>
    </row>
    <row r="649" spans="1:12" ht="16" x14ac:dyDescent="0.2">
      <c r="A649" t="s">
        <v>763</v>
      </c>
      <c r="B649">
        <v>797</v>
      </c>
      <c r="C649" s="5">
        <v>98.894999999999996</v>
      </c>
      <c r="D649">
        <v>6.00000000000023E-3</v>
      </c>
      <c r="E649" t="s">
        <v>10</v>
      </c>
      <c r="F649" t="s">
        <v>10</v>
      </c>
      <c r="G649" t="s">
        <v>10</v>
      </c>
      <c r="H649" t="s">
        <v>12</v>
      </c>
      <c r="I649" t="s">
        <v>13</v>
      </c>
      <c r="J649" t="s">
        <v>2038</v>
      </c>
      <c r="K649" t="s">
        <v>2038</v>
      </c>
      <c r="L649" t="s">
        <v>10</v>
      </c>
    </row>
    <row r="650" spans="1:12" ht="16" x14ac:dyDescent="0.2">
      <c r="A650" t="s">
        <v>649</v>
      </c>
      <c r="B650">
        <v>655</v>
      </c>
      <c r="C650" s="5">
        <v>98.894999999999996</v>
      </c>
      <c r="D650">
        <v>0.73499999999999899</v>
      </c>
      <c r="E650" t="s">
        <v>10</v>
      </c>
      <c r="F650" t="s">
        <v>10</v>
      </c>
      <c r="G650" t="s">
        <v>10</v>
      </c>
      <c r="H650" t="s">
        <v>204</v>
      </c>
      <c r="I650" t="s">
        <v>205</v>
      </c>
      <c r="J650" t="s">
        <v>2038</v>
      </c>
      <c r="K650" t="s">
        <v>2038</v>
      </c>
      <c r="L650" t="s">
        <v>10</v>
      </c>
    </row>
    <row r="651" spans="1:12" ht="16" x14ac:dyDescent="0.2">
      <c r="A651" t="s">
        <v>1609</v>
      </c>
      <c r="B651">
        <v>1975</v>
      </c>
      <c r="C651" s="5">
        <v>98.894999999999996</v>
      </c>
      <c r="D651">
        <v>6.00000000000023E-3</v>
      </c>
      <c r="E651" t="s">
        <v>10</v>
      </c>
      <c r="F651" t="s">
        <v>176</v>
      </c>
      <c r="G651" t="s">
        <v>1610</v>
      </c>
      <c r="H651" t="s">
        <v>445</v>
      </c>
      <c r="I651" t="s">
        <v>446</v>
      </c>
      <c r="J651" t="s">
        <v>2038</v>
      </c>
      <c r="K651" t="s">
        <v>2038</v>
      </c>
      <c r="L651" t="s">
        <v>10</v>
      </c>
    </row>
    <row r="652" spans="1:12" ht="16" x14ac:dyDescent="0.2">
      <c r="A652" t="s">
        <v>417</v>
      </c>
      <c r="B652">
        <v>348</v>
      </c>
      <c r="C652" s="5">
        <v>98.894999999999996</v>
      </c>
      <c r="D652">
        <v>1.657</v>
      </c>
      <c r="E652" t="s">
        <v>10</v>
      </c>
      <c r="F652" t="s">
        <v>10</v>
      </c>
      <c r="G652" t="s">
        <v>10</v>
      </c>
      <c r="H652" t="s">
        <v>418</v>
      </c>
      <c r="I652" t="s">
        <v>419</v>
      </c>
      <c r="J652" t="s">
        <v>2038</v>
      </c>
      <c r="K652" t="s">
        <v>2038</v>
      </c>
    </row>
    <row r="653" spans="1:12" ht="16" x14ac:dyDescent="0.2">
      <c r="A653" t="s">
        <v>586</v>
      </c>
      <c r="B653">
        <v>594</v>
      </c>
      <c r="C653" s="5">
        <v>98.894999999999996</v>
      </c>
      <c r="D653">
        <v>1.657</v>
      </c>
      <c r="E653" t="s">
        <v>10</v>
      </c>
      <c r="F653" t="s">
        <v>10</v>
      </c>
      <c r="G653" t="s">
        <v>10</v>
      </c>
      <c r="H653" t="s">
        <v>418</v>
      </c>
      <c r="I653" t="s">
        <v>419</v>
      </c>
      <c r="J653" t="s">
        <v>2038</v>
      </c>
      <c r="K653" t="s">
        <v>2038</v>
      </c>
    </row>
    <row r="654" spans="1:12" ht="16" x14ac:dyDescent="0.2">
      <c r="A654" t="s">
        <v>1575</v>
      </c>
      <c r="B654">
        <v>1932</v>
      </c>
      <c r="C654" s="5">
        <v>98.894999999999996</v>
      </c>
      <c r="D654">
        <v>0.55199999999999205</v>
      </c>
      <c r="E654" t="s">
        <v>10</v>
      </c>
      <c r="F654" t="s">
        <v>10</v>
      </c>
      <c r="G654" t="s">
        <v>10</v>
      </c>
      <c r="H654" t="s">
        <v>1473</v>
      </c>
      <c r="I654" t="s">
        <v>1474</v>
      </c>
      <c r="J654" t="s">
        <v>2038</v>
      </c>
      <c r="K654" t="s">
        <v>2038</v>
      </c>
    </row>
    <row r="655" spans="1:12" ht="16" x14ac:dyDescent="0.2">
      <c r="A655" t="s">
        <v>1125</v>
      </c>
      <c r="B655">
        <v>1329</v>
      </c>
      <c r="C655" s="5">
        <v>98.894999999999996</v>
      </c>
      <c r="D655">
        <v>0.55199999999999205</v>
      </c>
      <c r="E655" t="s">
        <v>10</v>
      </c>
      <c r="F655" t="s">
        <v>10</v>
      </c>
      <c r="G655" t="s">
        <v>10</v>
      </c>
      <c r="H655" t="s">
        <v>138</v>
      </c>
      <c r="I655" t="s">
        <v>137</v>
      </c>
      <c r="J655" t="s">
        <v>2038</v>
      </c>
      <c r="K655" t="s">
        <v>2038</v>
      </c>
    </row>
    <row r="656" spans="1:12" ht="16" x14ac:dyDescent="0.2">
      <c r="A656" t="s">
        <v>297</v>
      </c>
      <c r="B656">
        <v>210</v>
      </c>
      <c r="C656" s="5">
        <v>98.894999999999996</v>
      </c>
      <c r="D656">
        <v>0.55199999999999205</v>
      </c>
      <c r="E656" t="s">
        <v>10</v>
      </c>
      <c r="F656" t="s">
        <v>10</v>
      </c>
      <c r="G656" t="s">
        <v>10</v>
      </c>
      <c r="H656" t="s">
        <v>298</v>
      </c>
      <c r="I656" t="s">
        <v>299</v>
      </c>
      <c r="J656" t="s">
        <v>2038</v>
      </c>
      <c r="K656" t="s">
        <v>2038</v>
      </c>
    </row>
    <row r="657" spans="1:12" ht="16" x14ac:dyDescent="0.2">
      <c r="A657" t="s">
        <v>959</v>
      </c>
      <c r="B657">
        <v>1073</v>
      </c>
      <c r="C657" s="5">
        <v>98.894999999999996</v>
      </c>
      <c r="D657">
        <v>0.12999999999999501</v>
      </c>
      <c r="E657" t="s">
        <v>10</v>
      </c>
      <c r="F657" t="s">
        <v>11</v>
      </c>
      <c r="G657" t="s">
        <v>899</v>
      </c>
      <c r="H657" t="s">
        <v>60</v>
      </c>
      <c r="I657" t="s">
        <v>61</v>
      </c>
      <c r="J657" t="s">
        <v>2037</v>
      </c>
      <c r="K657" t="s">
        <v>2037</v>
      </c>
      <c r="L657" t="s">
        <v>2040</v>
      </c>
    </row>
    <row r="658" spans="1:12" ht="16" x14ac:dyDescent="0.2">
      <c r="A658" t="s">
        <v>1056</v>
      </c>
      <c r="B658">
        <v>1256</v>
      </c>
      <c r="C658" s="5">
        <v>99.01</v>
      </c>
      <c r="D658">
        <v>0.82800000000000296</v>
      </c>
      <c r="E658" t="s">
        <v>10</v>
      </c>
      <c r="F658" t="s">
        <v>10</v>
      </c>
      <c r="G658" t="s">
        <v>10</v>
      </c>
      <c r="H658" t="s">
        <v>798</v>
      </c>
      <c r="I658" t="s">
        <v>799</v>
      </c>
      <c r="J658" t="s">
        <v>2038</v>
      </c>
      <c r="K658" t="s">
        <v>2038</v>
      </c>
      <c r="L658" t="s">
        <v>10</v>
      </c>
    </row>
    <row r="659" spans="1:12" ht="16" x14ac:dyDescent="0.2">
      <c r="A659" t="s">
        <v>1245</v>
      </c>
      <c r="B659">
        <v>1495</v>
      </c>
      <c r="C659" s="5">
        <v>99.01</v>
      </c>
      <c r="D659">
        <v>0.82800000000000296</v>
      </c>
      <c r="E659" t="s">
        <v>10</v>
      </c>
      <c r="F659" t="s">
        <v>10</v>
      </c>
      <c r="G659" t="s">
        <v>10</v>
      </c>
      <c r="H659" t="s">
        <v>798</v>
      </c>
      <c r="I659" t="s">
        <v>799</v>
      </c>
      <c r="J659" t="s">
        <v>2038</v>
      </c>
      <c r="K659" t="s">
        <v>2038</v>
      </c>
      <c r="L659" t="s">
        <v>10</v>
      </c>
    </row>
    <row r="660" spans="1:12" ht="16" x14ac:dyDescent="0.2">
      <c r="A660" t="s">
        <v>1514</v>
      </c>
      <c r="B660">
        <v>1857</v>
      </c>
      <c r="C660" s="5">
        <v>99.355000000000004</v>
      </c>
      <c r="D660">
        <v>4.5000000000001698E-2</v>
      </c>
      <c r="E660" t="s">
        <v>551</v>
      </c>
      <c r="F660" t="s">
        <v>552</v>
      </c>
      <c r="G660" t="s">
        <v>553</v>
      </c>
      <c r="H660" t="s">
        <v>1099</v>
      </c>
      <c r="I660" t="s">
        <v>1100</v>
      </c>
      <c r="J660" t="s">
        <v>2038</v>
      </c>
      <c r="K660" t="s">
        <v>2038</v>
      </c>
      <c r="L660" t="s">
        <v>10</v>
      </c>
    </row>
    <row r="661" spans="1:12" ht="16" x14ac:dyDescent="0.2">
      <c r="A661" t="s">
        <v>1924</v>
      </c>
      <c r="B661">
        <v>2369</v>
      </c>
      <c r="C661" s="5">
        <v>99.375</v>
      </c>
      <c r="D661">
        <v>0.54500000000000204</v>
      </c>
      <c r="E661" t="s">
        <v>10</v>
      </c>
      <c r="F661" t="s">
        <v>11</v>
      </c>
      <c r="G661" t="s">
        <v>861</v>
      </c>
      <c r="H661" t="s">
        <v>862</v>
      </c>
      <c r="I661" t="s">
        <v>863</v>
      </c>
      <c r="J661" t="s">
        <v>2038</v>
      </c>
      <c r="K661" t="s">
        <v>2038</v>
      </c>
      <c r="L661" t="s">
        <v>10</v>
      </c>
    </row>
    <row r="662" spans="1:12" ht="16" x14ac:dyDescent="0.2">
      <c r="A662" t="s">
        <v>340</v>
      </c>
      <c r="B662">
        <v>262</v>
      </c>
      <c r="C662" s="5">
        <v>99.382999999999996</v>
      </c>
      <c r="D662">
        <v>0.48799999999999999</v>
      </c>
      <c r="E662" t="s">
        <v>10</v>
      </c>
      <c r="F662" t="s">
        <v>10</v>
      </c>
      <c r="G662" t="s">
        <v>341</v>
      </c>
      <c r="H662" t="str">
        <f>LEFT(I662, FIND(" sp.", I662) - 1)</f>
        <v>Tettigoniidae</v>
      </c>
      <c r="I662" t="s">
        <v>342</v>
      </c>
      <c r="J662" t="s">
        <v>2038</v>
      </c>
      <c r="K662" t="s">
        <v>2038</v>
      </c>
      <c r="L662" t="s">
        <v>2040</v>
      </c>
    </row>
    <row r="663" spans="1:12" ht="16" x14ac:dyDescent="0.2">
      <c r="A663" t="s">
        <v>1252</v>
      </c>
      <c r="B663">
        <v>1513</v>
      </c>
      <c r="C663" s="5">
        <v>99.412000000000006</v>
      </c>
      <c r="D663">
        <v>1.8000000000000699E-2</v>
      </c>
      <c r="E663" t="s">
        <v>10</v>
      </c>
      <c r="F663" t="s">
        <v>10</v>
      </c>
      <c r="G663" t="s">
        <v>10</v>
      </c>
      <c r="H663" t="s">
        <v>1253</v>
      </c>
      <c r="I663" t="s">
        <v>1254</v>
      </c>
      <c r="J663" t="s">
        <v>2038</v>
      </c>
      <c r="K663" t="s">
        <v>2038</v>
      </c>
    </row>
    <row r="664" spans="1:12" ht="16" x14ac:dyDescent="0.2">
      <c r="A664" t="s">
        <v>1470</v>
      </c>
      <c r="B664">
        <v>1810</v>
      </c>
      <c r="C664" s="5">
        <v>99.435000000000002</v>
      </c>
      <c r="D664">
        <v>1.9999999999996E-2</v>
      </c>
      <c r="E664" t="s">
        <v>10</v>
      </c>
      <c r="F664" t="s">
        <v>10</v>
      </c>
      <c r="G664" t="s">
        <v>1471</v>
      </c>
      <c r="H664" t="str">
        <f>LEFT(I664, FIND(" sp.", I664) - 1)</f>
        <v>Anystidae</v>
      </c>
      <c r="I664" t="s">
        <v>308</v>
      </c>
      <c r="J664" t="s">
        <v>2038</v>
      </c>
      <c r="K664" t="s">
        <v>2038</v>
      </c>
      <c r="L664" t="s">
        <v>10</v>
      </c>
    </row>
    <row r="665" spans="1:12" ht="16" x14ac:dyDescent="0.2">
      <c r="A665" t="s">
        <v>527</v>
      </c>
      <c r="B665">
        <v>520</v>
      </c>
      <c r="C665" s="5">
        <v>99.441000000000003</v>
      </c>
      <c r="D665">
        <v>0.55800000000000705</v>
      </c>
      <c r="E665" t="s">
        <v>10</v>
      </c>
      <c r="F665" t="s">
        <v>10</v>
      </c>
      <c r="G665" t="s">
        <v>10</v>
      </c>
      <c r="H665" t="s">
        <v>226</v>
      </c>
      <c r="I665" t="s">
        <v>528</v>
      </c>
      <c r="J665" t="s">
        <v>2037</v>
      </c>
      <c r="K665" t="s">
        <v>2037</v>
      </c>
      <c r="L665" t="s">
        <v>10</v>
      </c>
    </row>
    <row r="666" spans="1:12" ht="16" x14ac:dyDescent="0.2">
      <c r="A666" t="s">
        <v>1404</v>
      </c>
      <c r="B666">
        <v>1677</v>
      </c>
      <c r="C666" s="5">
        <v>99.444000000000003</v>
      </c>
      <c r="D666">
        <v>0.55500000000000704</v>
      </c>
      <c r="E666" t="s">
        <v>10</v>
      </c>
      <c r="F666" t="s">
        <v>176</v>
      </c>
      <c r="J666" t="s">
        <v>2038</v>
      </c>
      <c r="K666" t="s">
        <v>2038</v>
      </c>
      <c r="L666" t="s">
        <v>2040</v>
      </c>
    </row>
    <row r="667" spans="1:12" ht="16" x14ac:dyDescent="0.2">
      <c r="A667" t="s">
        <v>856</v>
      </c>
      <c r="B667">
        <v>931</v>
      </c>
      <c r="C667" s="5">
        <v>99.444000000000003</v>
      </c>
      <c r="D667">
        <v>0.55500000000000704</v>
      </c>
      <c r="E667" t="s">
        <v>10</v>
      </c>
      <c r="F667" t="s">
        <v>10</v>
      </c>
      <c r="G667" t="s">
        <v>10</v>
      </c>
      <c r="H667" t="s">
        <v>521</v>
      </c>
      <c r="I667" t="s">
        <v>522</v>
      </c>
      <c r="J667" t="s">
        <v>2038</v>
      </c>
      <c r="K667" t="s">
        <v>2038</v>
      </c>
      <c r="L667" t="s">
        <v>10</v>
      </c>
    </row>
    <row r="668" spans="1:12" ht="16" x14ac:dyDescent="0.2">
      <c r="A668" t="s">
        <v>1785</v>
      </c>
      <c r="B668">
        <v>2202</v>
      </c>
      <c r="C668" s="5">
        <v>99.444000000000003</v>
      </c>
      <c r="D668">
        <v>3.8639999999999999</v>
      </c>
      <c r="E668" t="s">
        <v>10</v>
      </c>
      <c r="F668" t="s">
        <v>10</v>
      </c>
      <c r="G668" t="s">
        <v>1786</v>
      </c>
      <c r="H668" t="s">
        <v>1716</v>
      </c>
      <c r="I668" t="s">
        <v>1787</v>
      </c>
      <c r="J668" t="s">
        <v>2038</v>
      </c>
      <c r="K668" t="s">
        <v>2038</v>
      </c>
      <c r="L668" t="s">
        <v>10</v>
      </c>
    </row>
    <row r="669" spans="1:12" ht="16" x14ac:dyDescent="0.2">
      <c r="A669" t="s">
        <v>1341</v>
      </c>
      <c r="B669">
        <v>1587</v>
      </c>
      <c r="C669" s="5">
        <v>99.444000000000003</v>
      </c>
      <c r="D669">
        <v>0.55500000000000704</v>
      </c>
      <c r="E669" t="s">
        <v>10</v>
      </c>
      <c r="F669" t="s">
        <v>10</v>
      </c>
      <c r="G669" t="s">
        <v>10</v>
      </c>
      <c r="H669" t="s">
        <v>1167</v>
      </c>
      <c r="I669" t="s">
        <v>1168</v>
      </c>
      <c r="J669" t="s">
        <v>2038</v>
      </c>
      <c r="K669" t="s">
        <v>2038</v>
      </c>
      <c r="L669" t="s">
        <v>10</v>
      </c>
    </row>
    <row r="670" spans="1:12" ht="16" x14ac:dyDescent="0.2">
      <c r="A670" t="s">
        <v>854</v>
      </c>
      <c r="B670">
        <v>928</v>
      </c>
      <c r="C670" s="5">
        <v>99.444000000000003</v>
      </c>
      <c r="D670">
        <v>4.9690000000000101</v>
      </c>
      <c r="E670" t="s">
        <v>255</v>
      </c>
      <c r="F670" t="s">
        <v>11</v>
      </c>
      <c r="G670" t="s">
        <v>855</v>
      </c>
      <c r="H670" t="s">
        <v>244</v>
      </c>
      <c r="I670" t="s">
        <v>245</v>
      </c>
      <c r="J670" t="s">
        <v>2038</v>
      </c>
      <c r="K670" t="s">
        <v>2038</v>
      </c>
      <c r="L670" t="s">
        <v>10</v>
      </c>
    </row>
    <row r="671" spans="1:12" ht="16" x14ac:dyDescent="0.2">
      <c r="A671" t="s">
        <v>1411</v>
      </c>
      <c r="B671">
        <v>1684</v>
      </c>
      <c r="C671" s="5">
        <v>99.444000000000003</v>
      </c>
      <c r="D671">
        <v>3.0000000000001098E-3</v>
      </c>
      <c r="E671" t="s">
        <v>10</v>
      </c>
      <c r="F671" t="s">
        <v>10</v>
      </c>
      <c r="G671" t="s">
        <v>10</v>
      </c>
      <c r="H671" t="s">
        <v>1253</v>
      </c>
      <c r="I671" t="s">
        <v>1412</v>
      </c>
      <c r="J671" t="s">
        <v>2038</v>
      </c>
      <c r="K671" t="s">
        <v>2038</v>
      </c>
    </row>
    <row r="672" spans="1:12" ht="16" x14ac:dyDescent="0.2">
      <c r="A672" t="s">
        <v>1225</v>
      </c>
      <c r="B672">
        <v>1473</v>
      </c>
      <c r="C672" s="5">
        <v>99.444000000000003</v>
      </c>
      <c r="D672">
        <v>4.5869999999999997</v>
      </c>
      <c r="E672" t="s">
        <v>241</v>
      </c>
      <c r="F672" t="s">
        <v>1226</v>
      </c>
      <c r="G672" t="s">
        <v>1227</v>
      </c>
      <c r="H672" t="s">
        <v>351</v>
      </c>
      <c r="I672" t="s">
        <v>352</v>
      </c>
      <c r="J672" t="s">
        <v>2038</v>
      </c>
      <c r="K672" t="s">
        <v>2038</v>
      </c>
    </row>
    <row r="673" spans="1:12" ht="16" x14ac:dyDescent="0.2">
      <c r="A673" t="s">
        <v>443</v>
      </c>
      <c r="B673">
        <v>382</v>
      </c>
      <c r="C673" s="5">
        <v>99.444000000000003</v>
      </c>
      <c r="D673">
        <v>0.55500000000000704</v>
      </c>
      <c r="E673" t="s">
        <v>10</v>
      </c>
      <c r="F673" t="s">
        <v>10</v>
      </c>
      <c r="G673" t="s">
        <v>10</v>
      </c>
      <c r="H673" t="s">
        <v>138</v>
      </c>
      <c r="I673" t="s">
        <v>137</v>
      </c>
      <c r="J673" t="s">
        <v>2038</v>
      </c>
      <c r="K673" t="s">
        <v>2038</v>
      </c>
    </row>
    <row r="674" spans="1:12" ht="16" x14ac:dyDescent="0.2">
      <c r="A674" t="s">
        <v>622</v>
      </c>
      <c r="B674">
        <v>626</v>
      </c>
      <c r="C674" s="5">
        <v>99.444000000000003</v>
      </c>
      <c r="D674">
        <v>0.55500000000000704</v>
      </c>
      <c r="E674" t="s">
        <v>10</v>
      </c>
      <c r="F674" t="s">
        <v>10</v>
      </c>
      <c r="G674" t="s">
        <v>10</v>
      </c>
      <c r="H674" t="s">
        <v>138</v>
      </c>
      <c r="I674" t="s">
        <v>137</v>
      </c>
      <c r="J674" t="s">
        <v>2038</v>
      </c>
      <c r="K674" t="s">
        <v>2038</v>
      </c>
    </row>
    <row r="675" spans="1:12" ht="16" x14ac:dyDescent="0.2">
      <c r="A675" t="s">
        <v>771</v>
      </c>
      <c r="B675">
        <v>810</v>
      </c>
      <c r="C675" s="5">
        <v>99.444000000000003</v>
      </c>
      <c r="D675">
        <v>0.129000000000005</v>
      </c>
      <c r="E675" t="s">
        <v>10</v>
      </c>
      <c r="F675" t="s">
        <v>10</v>
      </c>
      <c r="G675" t="s">
        <v>10</v>
      </c>
      <c r="H675" t="s">
        <v>60</v>
      </c>
      <c r="I675" t="s">
        <v>61</v>
      </c>
      <c r="J675" t="s">
        <v>2037</v>
      </c>
      <c r="K675" t="s">
        <v>2037</v>
      </c>
      <c r="L675" t="s">
        <v>2040</v>
      </c>
    </row>
    <row r="676" spans="1:12" ht="16" x14ac:dyDescent="0.2">
      <c r="A676" t="s">
        <v>1560</v>
      </c>
      <c r="B676">
        <v>1911</v>
      </c>
      <c r="C676" s="5">
        <v>99.444000000000003</v>
      </c>
      <c r="D676">
        <v>3.0000000000001098E-3</v>
      </c>
      <c r="E676" t="s">
        <v>10</v>
      </c>
      <c r="F676" t="s">
        <v>10</v>
      </c>
      <c r="G676" t="s">
        <v>10</v>
      </c>
      <c r="H676" t="s">
        <v>226</v>
      </c>
      <c r="I676" t="s">
        <v>1561</v>
      </c>
      <c r="J676" t="s">
        <v>2037</v>
      </c>
      <c r="K676" t="s">
        <v>2037</v>
      </c>
      <c r="L676" t="s">
        <v>10</v>
      </c>
    </row>
    <row r="677" spans="1:12" ht="16" x14ac:dyDescent="0.2">
      <c r="A677" t="s">
        <v>972</v>
      </c>
      <c r="B677">
        <v>1113</v>
      </c>
      <c r="C677" s="5">
        <v>99.447999999999993</v>
      </c>
      <c r="D677">
        <v>0.55299999999999705</v>
      </c>
      <c r="E677" t="s">
        <v>10</v>
      </c>
      <c r="F677" t="s">
        <v>10</v>
      </c>
      <c r="G677" t="s">
        <v>10</v>
      </c>
      <c r="H677" t="s">
        <v>390</v>
      </c>
      <c r="I677" t="s">
        <v>391</v>
      </c>
      <c r="J677" t="s">
        <v>2038</v>
      </c>
      <c r="K677" t="s">
        <v>2038</v>
      </c>
      <c r="L677" t="s">
        <v>2040</v>
      </c>
    </row>
    <row r="678" spans="1:12" ht="16" x14ac:dyDescent="0.2">
      <c r="A678" t="s">
        <v>1083</v>
      </c>
      <c r="B678">
        <v>1282</v>
      </c>
      <c r="C678" s="5">
        <v>99.447999999999993</v>
      </c>
      <c r="D678">
        <v>2.2099999999999902</v>
      </c>
      <c r="E678" t="s">
        <v>10</v>
      </c>
      <c r="F678" t="s">
        <v>10</v>
      </c>
      <c r="G678" t="s">
        <v>10</v>
      </c>
      <c r="H678" t="s">
        <v>390</v>
      </c>
      <c r="I678" t="s">
        <v>391</v>
      </c>
      <c r="J678" t="s">
        <v>2038</v>
      </c>
      <c r="K678" t="s">
        <v>2038</v>
      </c>
      <c r="L678" t="s">
        <v>2040</v>
      </c>
    </row>
    <row r="679" spans="1:12" ht="16" x14ac:dyDescent="0.2">
      <c r="A679" t="s">
        <v>715</v>
      </c>
      <c r="B679">
        <v>724</v>
      </c>
      <c r="C679" s="5">
        <v>99.447999999999993</v>
      </c>
      <c r="D679">
        <v>2.2099999999999902</v>
      </c>
      <c r="E679" t="s">
        <v>10</v>
      </c>
      <c r="F679" t="s">
        <v>10</v>
      </c>
      <c r="G679" t="s">
        <v>10</v>
      </c>
      <c r="H679" t="s">
        <v>390</v>
      </c>
      <c r="I679" t="s">
        <v>391</v>
      </c>
      <c r="J679" t="s">
        <v>2038</v>
      </c>
      <c r="K679" t="s">
        <v>2038</v>
      </c>
      <c r="L679" t="s">
        <v>2040</v>
      </c>
    </row>
    <row r="680" spans="1:12" ht="16" x14ac:dyDescent="0.2">
      <c r="A680" t="s">
        <v>411</v>
      </c>
      <c r="B680">
        <v>332</v>
      </c>
      <c r="C680" s="5">
        <v>99.447999999999993</v>
      </c>
      <c r="D680">
        <v>6.4999999999997699E-2</v>
      </c>
      <c r="E680" t="s">
        <v>10</v>
      </c>
      <c r="F680" t="s">
        <v>10</v>
      </c>
      <c r="G680" t="s">
        <v>342</v>
      </c>
      <c r="H680" t="str">
        <f>LEFT(I680, FIND(" sp.", I680) - 1)</f>
        <v>Tettigoniidae</v>
      </c>
      <c r="I680" t="s">
        <v>341</v>
      </c>
      <c r="J680" t="s">
        <v>2038</v>
      </c>
      <c r="K680" t="s">
        <v>2038</v>
      </c>
      <c r="L680" t="s">
        <v>2040</v>
      </c>
    </row>
    <row r="681" spans="1:12" ht="16" x14ac:dyDescent="0.2">
      <c r="A681" t="s">
        <v>274</v>
      </c>
      <c r="B681">
        <v>190</v>
      </c>
      <c r="C681" s="5">
        <v>99.447999999999993</v>
      </c>
      <c r="D681">
        <v>99.447999999999993</v>
      </c>
      <c r="J681" t="s">
        <v>2038</v>
      </c>
      <c r="K681" t="s">
        <v>2038</v>
      </c>
      <c r="L681" t="s">
        <v>2040</v>
      </c>
    </row>
    <row r="682" spans="1:12" ht="16" x14ac:dyDescent="0.2">
      <c r="A682" t="s">
        <v>479</v>
      </c>
      <c r="B682">
        <v>424</v>
      </c>
      <c r="C682" s="5">
        <v>99.447999999999993</v>
      </c>
      <c r="D682">
        <v>6.63</v>
      </c>
      <c r="E682" t="s">
        <v>118</v>
      </c>
      <c r="F682" t="s">
        <v>10</v>
      </c>
      <c r="J682" t="s">
        <v>2038</v>
      </c>
      <c r="K682" t="s">
        <v>2038</v>
      </c>
      <c r="L682" t="s">
        <v>2040</v>
      </c>
    </row>
    <row r="683" spans="1:12" ht="16" x14ac:dyDescent="0.2">
      <c r="A683" t="s">
        <v>499</v>
      </c>
      <c r="B683">
        <v>477</v>
      </c>
      <c r="C683" s="5">
        <v>99.447999999999993</v>
      </c>
      <c r="D683">
        <v>99.447999999999993</v>
      </c>
      <c r="J683" t="s">
        <v>2038</v>
      </c>
      <c r="K683" t="s">
        <v>2038</v>
      </c>
      <c r="L683" t="s">
        <v>2040</v>
      </c>
    </row>
    <row r="684" spans="1:12" ht="16" x14ac:dyDescent="0.2">
      <c r="A684" t="s">
        <v>616</v>
      </c>
      <c r="B684">
        <v>621</v>
      </c>
      <c r="C684" s="5">
        <v>99.447999999999993</v>
      </c>
      <c r="D684">
        <v>0.55299999999999705</v>
      </c>
      <c r="E684" t="s">
        <v>10</v>
      </c>
      <c r="F684" t="s">
        <v>10</v>
      </c>
      <c r="G684" t="s">
        <v>307</v>
      </c>
      <c r="H684" t="str">
        <f>LEFT(I684, FIND(" sp.", I684) - 1)</f>
        <v>Anystidae</v>
      </c>
      <c r="I684" t="s">
        <v>308</v>
      </c>
      <c r="J684" t="s">
        <v>2038</v>
      </c>
      <c r="K684" t="s">
        <v>2038</v>
      </c>
      <c r="L684" t="s">
        <v>10</v>
      </c>
    </row>
    <row r="685" spans="1:12" ht="16" x14ac:dyDescent="0.2">
      <c r="A685" t="s">
        <v>1829</v>
      </c>
      <c r="B685">
        <v>2258</v>
      </c>
      <c r="C685" s="5">
        <v>99.447999999999993</v>
      </c>
      <c r="D685">
        <v>4.476</v>
      </c>
      <c r="E685" t="s">
        <v>10</v>
      </c>
      <c r="F685" t="s">
        <v>10</v>
      </c>
      <c r="G685" t="s">
        <v>1544</v>
      </c>
      <c r="H685" t="s">
        <v>1395</v>
      </c>
      <c r="I685" t="s">
        <v>1545</v>
      </c>
      <c r="J685" t="s">
        <v>2038</v>
      </c>
      <c r="K685" t="s">
        <v>2038</v>
      </c>
      <c r="L685" t="s">
        <v>10</v>
      </c>
    </row>
    <row r="686" spans="1:12" ht="16" x14ac:dyDescent="0.2">
      <c r="A686" t="s">
        <v>1394</v>
      </c>
      <c r="B686">
        <v>1661</v>
      </c>
      <c r="C686" s="5">
        <v>99.447999999999993</v>
      </c>
      <c r="D686">
        <v>9.9999999999908998E-3</v>
      </c>
      <c r="E686" t="s">
        <v>10</v>
      </c>
      <c r="F686" t="s">
        <v>10</v>
      </c>
      <c r="G686" t="s">
        <v>10</v>
      </c>
      <c r="H686" t="s">
        <v>1395</v>
      </c>
      <c r="I686" t="s">
        <v>1396</v>
      </c>
      <c r="J686" t="s">
        <v>2038</v>
      </c>
      <c r="K686" t="s">
        <v>2038</v>
      </c>
      <c r="L686" t="s">
        <v>10</v>
      </c>
    </row>
    <row r="687" spans="1:12" ht="16" x14ac:dyDescent="0.2">
      <c r="A687" t="s">
        <v>640</v>
      </c>
      <c r="B687">
        <v>642</v>
      </c>
      <c r="C687" s="5">
        <v>99.447999999999993</v>
      </c>
      <c r="D687">
        <v>99.447999999999993</v>
      </c>
      <c r="H687" t="s">
        <v>372</v>
      </c>
      <c r="I687" t="s">
        <v>641</v>
      </c>
      <c r="J687" t="s">
        <v>2038</v>
      </c>
      <c r="K687" t="s">
        <v>2038</v>
      </c>
      <c r="L687" t="s">
        <v>10</v>
      </c>
    </row>
    <row r="688" spans="1:12" ht="16" x14ac:dyDescent="0.2">
      <c r="A688" t="s">
        <v>660</v>
      </c>
      <c r="B688">
        <v>666</v>
      </c>
      <c r="C688" s="5">
        <v>99.447999999999993</v>
      </c>
      <c r="D688">
        <v>99.447999999999993</v>
      </c>
      <c r="H688" t="s">
        <v>372</v>
      </c>
      <c r="I688" t="s">
        <v>661</v>
      </c>
      <c r="J688" t="s">
        <v>2038</v>
      </c>
      <c r="K688" t="s">
        <v>2038</v>
      </c>
      <c r="L688" t="s">
        <v>10</v>
      </c>
    </row>
    <row r="689" spans="1:12" ht="16" x14ac:dyDescent="0.2">
      <c r="A689" t="s">
        <v>1672</v>
      </c>
      <c r="B689">
        <v>2061</v>
      </c>
      <c r="C689" s="5">
        <v>99.447999999999993</v>
      </c>
      <c r="D689">
        <v>0</v>
      </c>
      <c r="E689" t="s">
        <v>10</v>
      </c>
      <c r="H689" t="s">
        <v>1052</v>
      </c>
      <c r="I689" t="s">
        <v>1053</v>
      </c>
      <c r="J689" t="s">
        <v>2038</v>
      </c>
      <c r="K689" t="s">
        <v>2038</v>
      </c>
      <c r="L689" t="s">
        <v>10</v>
      </c>
    </row>
    <row r="690" spans="1:12" ht="16" x14ac:dyDescent="0.2">
      <c r="A690" t="s">
        <v>1296</v>
      </c>
      <c r="B690">
        <v>1551</v>
      </c>
      <c r="C690" s="5">
        <v>99.447999999999993</v>
      </c>
      <c r="D690">
        <v>99.447999999999993</v>
      </c>
      <c r="H690" t="s">
        <v>355</v>
      </c>
      <c r="I690" t="s">
        <v>356</v>
      </c>
      <c r="J690" t="s">
        <v>2038</v>
      </c>
      <c r="K690" t="s">
        <v>2038</v>
      </c>
      <c r="L690" t="s">
        <v>10</v>
      </c>
    </row>
    <row r="691" spans="1:12" ht="16" x14ac:dyDescent="0.2">
      <c r="A691" t="s">
        <v>593</v>
      </c>
      <c r="B691">
        <v>603</v>
      </c>
      <c r="C691" s="5">
        <v>99.447999999999993</v>
      </c>
      <c r="D691">
        <v>0.55299999999999705</v>
      </c>
      <c r="E691" t="s">
        <v>10</v>
      </c>
      <c r="F691" t="s">
        <v>10</v>
      </c>
      <c r="G691" t="s">
        <v>594</v>
      </c>
      <c r="H691" t="s">
        <v>595</v>
      </c>
      <c r="I691" t="s">
        <v>596</v>
      </c>
      <c r="J691" t="s">
        <v>2038</v>
      </c>
      <c r="K691" t="s">
        <v>2038</v>
      </c>
      <c r="L691" t="s">
        <v>10</v>
      </c>
    </row>
    <row r="692" spans="1:12" ht="16" x14ac:dyDescent="0.2">
      <c r="A692" t="s">
        <v>1054</v>
      </c>
      <c r="B692">
        <v>1251</v>
      </c>
      <c r="C692" s="5">
        <v>99.447999999999993</v>
      </c>
      <c r="D692">
        <v>2.7629999999999901</v>
      </c>
      <c r="E692" t="s">
        <v>10</v>
      </c>
      <c r="F692" t="s">
        <v>10</v>
      </c>
      <c r="G692" t="s">
        <v>10</v>
      </c>
      <c r="H692" t="s">
        <v>310</v>
      </c>
      <c r="I692" t="s">
        <v>311</v>
      </c>
      <c r="J692" t="s">
        <v>2038</v>
      </c>
      <c r="K692" t="s">
        <v>2038</v>
      </c>
      <c r="L692" t="s">
        <v>10</v>
      </c>
    </row>
    <row r="693" spans="1:12" ht="16" x14ac:dyDescent="0.2">
      <c r="A693" t="s">
        <v>516</v>
      </c>
      <c r="B693">
        <v>495</v>
      </c>
      <c r="C693" s="5">
        <v>99.447999999999993</v>
      </c>
      <c r="D693">
        <v>1.6579999999999899</v>
      </c>
      <c r="E693" t="s">
        <v>10</v>
      </c>
      <c r="F693" t="s">
        <v>10</v>
      </c>
      <c r="G693" t="s">
        <v>10</v>
      </c>
      <c r="H693" t="s">
        <v>310</v>
      </c>
      <c r="I693" t="s">
        <v>311</v>
      </c>
      <c r="J693" t="s">
        <v>2038</v>
      </c>
      <c r="K693" t="s">
        <v>2038</v>
      </c>
      <c r="L693" t="s">
        <v>10</v>
      </c>
    </row>
    <row r="694" spans="1:12" ht="16" x14ac:dyDescent="0.2">
      <c r="A694" t="s">
        <v>843</v>
      </c>
      <c r="B694">
        <v>902</v>
      </c>
      <c r="C694" s="5">
        <v>99.447999999999993</v>
      </c>
      <c r="D694">
        <v>2.7629999999999901</v>
      </c>
      <c r="E694" t="s">
        <v>10</v>
      </c>
      <c r="F694" t="s">
        <v>10</v>
      </c>
      <c r="G694" t="s">
        <v>10</v>
      </c>
      <c r="H694" t="s">
        <v>310</v>
      </c>
      <c r="I694" t="s">
        <v>311</v>
      </c>
      <c r="J694" t="s">
        <v>2038</v>
      </c>
      <c r="K694" t="s">
        <v>2038</v>
      </c>
      <c r="L694" t="s">
        <v>10</v>
      </c>
    </row>
    <row r="695" spans="1:12" ht="16" x14ac:dyDescent="0.2">
      <c r="A695" t="s">
        <v>422</v>
      </c>
      <c r="B695">
        <v>354</v>
      </c>
      <c r="C695" s="5">
        <v>99.447999999999993</v>
      </c>
      <c r="D695">
        <v>99.447999999999993</v>
      </c>
      <c r="H695" t="s">
        <v>121</v>
      </c>
      <c r="I695" t="s">
        <v>122</v>
      </c>
      <c r="J695" t="s">
        <v>2038</v>
      </c>
      <c r="K695" t="s">
        <v>2038</v>
      </c>
      <c r="L695" t="s">
        <v>10</v>
      </c>
    </row>
    <row r="696" spans="1:12" ht="16" x14ac:dyDescent="0.2">
      <c r="A696" t="s">
        <v>488</v>
      </c>
      <c r="B696">
        <v>454</v>
      </c>
      <c r="C696" s="5">
        <v>99.447999999999993</v>
      </c>
      <c r="D696">
        <v>99.447999999999993</v>
      </c>
      <c r="H696" t="s">
        <v>121</v>
      </c>
      <c r="I696" t="s">
        <v>122</v>
      </c>
      <c r="J696" t="s">
        <v>2038</v>
      </c>
      <c r="K696" t="s">
        <v>2038</v>
      </c>
      <c r="L696" t="s">
        <v>10</v>
      </c>
    </row>
    <row r="697" spans="1:12" ht="16" x14ac:dyDescent="0.2">
      <c r="A697" t="s">
        <v>1506</v>
      </c>
      <c r="B697">
        <v>1847</v>
      </c>
      <c r="C697" s="5">
        <v>99.447999999999993</v>
      </c>
      <c r="D697">
        <v>1.10499999999999</v>
      </c>
      <c r="E697" t="s">
        <v>10</v>
      </c>
      <c r="F697" t="s">
        <v>10</v>
      </c>
      <c r="G697" t="s">
        <v>10</v>
      </c>
      <c r="H697" t="s">
        <v>1507</v>
      </c>
      <c r="I697" t="s">
        <v>1508</v>
      </c>
      <c r="J697" t="s">
        <v>2038</v>
      </c>
      <c r="K697" t="s">
        <v>2038</v>
      </c>
      <c r="L697" t="s">
        <v>10</v>
      </c>
    </row>
    <row r="698" spans="1:12" ht="16" x14ac:dyDescent="0.2">
      <c r="A698" t="s">
        <v>1823</v>
      </c>
      <c r="B698">
        <v>2246</v>
      </c>
      <c r="C698" s="5">
        <v>99.447999999999993</v>
      </c>
      <c r="D698">
        <v>99.447999999999993</v>
      </c>
      <c r="H698" t="s">
        <v>1281</v>
      </c>
      <c r="I698" t="s">
        <v>1282</v>
      </c>
      <c r="J698" t="s">
        <v>2038</v>
      </c>
      <c r="K698" t="s">
        <v>2038</v>
      </c>
      <c r="L698" t="s">
        <v>10</v>
      </c>
    </row>
    <row r="699" spans="1:12" ht="16" x14ac:dyDescent="0.2">
      <c r="A699" t="s">
        <v>1907</v>
      </c>
      <c r="B699">
        <v>2335</v>
      </c>
      <c r="C699" s="5">
        <v>99.447999999999993</v>
      </c>
      <c r="D699">
        <v>0</v>
      </c>
      <c r="E699" t="s">
        <v>10</v>
      </c>
      <c r="F699" t="s">
        <v>10</v>
      </c>
      <c r="H699" t="s">
        <v>1908</v>
      </c>
      <c r="I699" t="s">
        <v>1909</v>
      </c>
      <c r="J699" t="s">
        <v>2038</v>
      </c>
      <c r="K699" t="s">
        <v>2038</v>
      </c>
      <c r="L699" t="s">
        <v>10</v>
      </c>
    </row>
    <row r="700" spans="1:12" ht="16" x14ac:dyDescent="0.2">
      <c r="A700" t="s">
        <v>550</v>
      </c>
      <c r="B700">
        <v>538</v>
      </c>
      <c r="C700" s="5">
        <v>99.447999999999993</v>
      </c>
      <c r="D700">
        <v>0</v>
      </c>
      <c r="H700" t="s">
        <v>552</v>
      </c>
      <c r="I700" t="s">
        <v>553</v>
      </c>
      <c r="J700" t="s">
        <v>2038</v>
      </c>
      <c r="K700" t="s">
        <v>2038</v>
      </c>
      <c r="L700" t="s">
        <v>10</v>
      </c>
    </row>
    <row r="701" spans="1:12" ht="16" x14ac:dyDescent="0.2">
      <c r="A701" t="s">
        <v>293</v>
      </c>
      <c r="B701">
        <v>206</v>
      </c>
      <c r="C701" s="5">
        <v>99.447999999999993</v>
      </c>
      <c r="D701">
        <v>99.447999999999993</v>
      </c>
      <c r="H701" t="s">
        <v>294</v>
      </c>
      <c r="I701" t="s">
        <v>295</v>
      </c>
      <c r="J701" t="s">
        <v>2038</v>
      </c>
      <c r="K701" t="s">
        <v>2038</v>
      </c>
      <c r="L701" t="s">
        <v>10</v>
      </c>
    </row>
    <row r="702" spans="1:12" ht="16" x14ac:dyDescent="0.2">
      <c r="A702" t="s">
        <v>2003</v>
      </c>
      <c r="B702">
        <v>2547</v>
      </c>
      <c r="C702" s="5">
        <v>99.447999999999993</v>
      </c>
      <c r="D702">
        <v>99.447999999999993</v>
      </c>
      <c r="H702" t="s">
        <v>1944</v>
      </c>
      <c r="I702" t="s">
        <v>1945</v>
      </c>
      <c r="J702" t="s">
        <v>2038</v>
      </c>
      <c r="K702" t="s">
        <v>2038</v>
      </c>
      <c r="L702" t="s">
        <v>10</v>
      </c>
    </row>
    <row r="703" spans="1:12" ht="16" x14ac:dyDescent="0.2">
      <c r="A703" t="s">
        <v>975</v>
      </c>
      <c r="B703">
        <v>1128</v>
      </c>
      <c r="C703" s="5">
        <v>99.447999999999993</v>
      </c>
      <c r="D703">
        <v>99.447999999999993</v>
      </c>
      <c r="H703" t="s">
        <v>680</v>
      </c>
      <c r="I703" t="s">
        <v>681</v>
      </c>
      <c r="J703" t="s">
        <v>2038</v>
      </c>
      <c r="K703" t="s">
        <v>2038</v>
      </c>
      <c r="L703" t="s">
        <v>10</v>
      </c>
    </row>
    <row r="704" spans="1:12" ht="16" x14ac:dyDescent="0.2">
      <c r="A704" t="s">
        <v>1066</v>
      </c>
      <c r="B704">
        <v>1268</v>
      </c>
      <c r="C704" s="5">
        <v>99.447999999999993</v>
      </c>
      <c r="D704">
        <v>99.447999999999993</v>
      </c>
      <c r="H704" t="s">
        <v>680</v>
      </c>
      <c r="I704" t="s">
        <v>681</v>
      </c>
      <c r="J704" t="s">
        <v>2038</v>
      </c>
      <c r="K704" t="s">
        <v>2038</v>
      </c>
      <c r="L704" t="s">
        <v>10</v>
      </c>
    </row>
    <row r="705" spans="1:12" ht="16" x14ac:dyDescent="0.2">
      <c r="A705" t="s">
        <v>1427</v>
      </c>
      <c r="B705">
        <v>1724</v>
      </c>
      <c r="C705" s="5">
        <v>99.447999999999993</v>
      </c>
      <c r="D705">
        <v>99.447999999999993</v>
      </c>
      <c r="H705" t="s">
        <v>680</v>
      </c>
      <c r="I705" t="s">
        <v>681</v>
      </c>
      <c r="J705" t="s">
        <v>2038</v>
      </c>
      <c r="K705" t="s">
        <v>2038</v>
      </c>
      <c r="L705" t="s">
        <v>10</v>
      </c>
    </row>
    <row r="706" spans="1:12" ht="16" x14ac:dyDescent="0.2">
      <c r="A706" t="s">
        <v>679</v>
      </c>
      <c r="B706">
        <v>684</v>
      </c>
      <c r="C706" s="5">
        <v>99.447999999999993</v>
      </c>
      <c r="D706">
        <v>99.447999999999993</v>
      </c>
      <c r="H706" t="s">
        <v>680</v>
      </c>
      <c r="I706" t="s">
        <v>681</v>
      </c>
      <c r="J706" t="s">
        <v>2038</v>
      </c>
      <c r="K706" t="s">
        <v>2038</v>
      </c>
      <c r="L706" t="s">
        <v>10</v>
      </c>
    </row>
    <row r="707" spans="1:12" ht="16" x14ac:dyDescent="0.2">
      <c r="A707" t="s">
        <v>903</v>
      </c>
      <c r="B707">
        <v>1011</v>
      </c>
      <c r="C707" s="5">
        <v>99.447999999999993</v>
      </c>
      <c r="D707">
        <v>0</v>
      </c>
      <c r="E707" t="s">
        <v>11</v>
      </c>
      <c r="F707" t="s">
        <v>11</v>
      </c>
      <c r="G707" t="s">
        <v>686</v>
      </c>
      <c r="H707" t="s">
        <v>684</v>
      </c>
      <c r="I707" t="s">
        <v>904</v>
      </c>
      <c r="J707" t="s">
        <v>2038</v>
      </c>
      <c r="K707" t="s">
        <v>2038</v>
      </c>
      <c r="L707" t="s">
        <v>10</v>
      </c>
    </row>
    <row r="708" spans="1:12" ht="16" x14ac:dyDescent="0.2">
      <c r="A708" t="s">
        <v>877</v>
      </c>
      <c r="B708">
        <v>951</v>
      </c>
      <c r="C708" s="5">
        <v>99.447999999999993</v>
      </c>
      <c r="D708">
        <v>99.447999999999993</v>
      </c>
      <c r="H708" t="s">
        <v>878</v>
      </c>
      <c r="I708" t="s">
        <v>879</v>
      </c>
      <c r="J708" t="s">
        <v>2038</v>
      </c>
      <c r="K708" t="s">
        <v>2038</v>
      </c>
      <c r="L708" t="s">
        <v>10</v>
      </c>
    </row>
    <row r="709" spans="1:12" ht="16" x14ac:dyDescent="0.2">
      <c r="A709" t="s">
        <v>169</v>
      </c>
      <c r="B709">
        <v>118</v>
      </c>
      <c r="C709" s="5">
        <v>99.447999999999993</v>
      </c>
      <c r="D709">
        <v>99.447999999999993</v>
      </c>
      <c r="H709" t="s">
        <v>170</v>
      </c>
      <c r="I709" t="s">
        <v>171</v>
      </c>
      <c r="J709" t="s">
        <v>2038</v>
      </c>
      <c r="K709" t="s">
        <v>2038</v>
      </c>
      <c r="L709" t="s">
        <v>10</v>
      </c>
    </row>
    <row r="710" spans="1:12" ht="16" x14ac:dyDescent="0.2">
      <c r="A710" t="s">
        <v>623</v>
      </c>
      <c r="B710">
        <v>629</v>
      </c>
      <c r="C710" s="5">
        <v>99.447999999999993</v>
      </c>
      <c r="D710">
        <v>0.123999999999995</v>
      </c>
      <c r="E710" t="s">
        <v>10</v>
      </c>
      <c r="F710" t="s">
        <v>10</v>
      </c>
      <c r="G710" t="s">
        <v>624</v>
      </c>
      <c r="H710" t="str">
        <f>LEFT(I710, FIND(" sp.", I710) - 1)</f>
        <v>Sciaridae</v>
      </c>
      <c r="I710" t="s">
        <v>625</v>
      </c>
      <c r="J710" t="s">
        <v>2038</v>
      </c>
      <c r="K710" t="s">
        <v>2038</v>
      </c>
      <c r="L710" t="s">
        <v>10</v>
      </c>
    </row>
    <row r="711" spans="1:12" ht="16" x14ac:dyDescent="0.2">
      <c r="A711" t="s">
        <v>9</v>
      </c>
      <c r="B711">
        <v>1</v>
      </c>
      <c r="C711" s="5">
        <v>99.447999999999993</v>
      </c>
      <c r="D711">
        <v>0.55299999999999705</v>
      </c>
      <c r="E711" t="s">
        <v>10</v>
      </c>
      <c r="F711" t="s">
        <v>10</v>
      </c>
      <c r="G711" t="s">
        <v>10</v>
      </c>
      <c r="H711" t="s">
        <v>12</v>
      </c>
      <c r="I711" t="s">
        <v>13</v>
      </c>
      <c r="J711" t="s">
        <v>2038</v>
      </c>
      <c r="K711" t="s">
        <v>2038</v>
      </c>
      <c r="L711" t="s">
        <v>10</v>
      </c>
    </row>
    <row r="712" spans="1:12" ht="16" x14ac:dyDescent="0.2">
      <c r="A712" t="s">
        <v>1218</v>
      </c>
      <c r="B712">
        <v>1454</v>
      </c>
      <c r="C712" s="5">
        <v>99.447999999999993</v>
      </c>
      <c r="D712">
        <v>3.9999999999906803E-3</v>
      </c>
      <c r="E712" t="s">
        <v>10</v>
      </c>
      <c r="F712" t="s">
        <v>10</v>
      </c>
      <c r="G712" t="s">
        <v>10</v>
      </c>
      <c r="H712" t="s">
        <v>12</v>
      </c>
      <c r="I712" t="s">
        <v>13</v>
      </c>
      <c r="J712" t="s">
        <v>2038</v>
      </c>
      <c r="K712" t="s">
        <v>2038</v>
      </c>
      <c r="L712" t="s">
        <v>10</v>
      </c>
    </row>
    <row r="713" spans="1:12" ht="16" x14ac:dyDescent="0.2">
      <c r="A713" t="s">
        <v>545</v>
      </c>
      <c r="B713">
        <v>529</v>
      </c>
      <c r="C713" s="5">
        <v>99.447999999999993</v>
      </c>
      <c r="D713">
        <v>99.447999999999993</v>
      </c>
      <c r="H713" t="s">
        <v>12</v>
      </c>
      <c r="I713" t="s">
        <v>13</v>
      </c>
      <c r="J713" t="s">
        <v>2038</v>
      </c>
      <c r="K713" t="s">
        <v>2038</v>
      </c>
      <c r="L713" t="s">
        <v>10</v>
      </c>
    </row>
    <row r="714" spans="1:12" ht="16" x14ac:dyDescent="0.2">
      <c r="A714" t="s">
        <v>573</v>
      </c>
      <c r="B714">
        <v>580</v>
      </c>
      <c r="C714" s="5">
        <v>99.447999999999993</v>
      </c>
      <c r="D714">
        <v>1.84299999999999</v>
      </c>
      <c r="E714" t="s">
        <v>10</v>
      </c>
      <c r="F714" t="s">
        <v>10</v>
      </c>
      <c r="G714" t="s">
        <v>10</v>
      </c>
      <c r="H714" t="s">
        <v>204</v>
      </c>
      <c r="I714" t="s">
        <v>205</v>
      </c>
      <c r="J714" t="s">
        <v>2038</v>
      </c>
      <c r="K714" t="s">
        <v>2038</v>
      </c>
      <c r="L714" t="s">
        <v>10</v>
      </c>
    </row>
    <row r="715" spans="1:12" ht="16" x14ac:dyDescent="0.2">
      <c r="A715" t="s">
        <v>678</v>
      </c>
      <c r="B715">
        <v>683</v>
      </c>
      <c r="C715" s="5">
        <v>99.447999999999993</v>
      </c>
      <c r="D715">
        <v>99.447999999999993</v>
      </c>
      <c r="H715" t="s">
        <v>445</v>
      </c>
      <c r="I715" t="s">
        <v>446</v>
      </c>
      <c r="J715" t="s">
        <v>2038</v>
      </c>
      <c r="K715" t="s">
        <v>2038</v>
      </c>
      <c r="L715" t="s">
        <v>10</v>
      </c>
    </row>
    <row r="716" spans="1:12" ht="16" x14ac:dyDescent="0.2">
      <c r="A716" t="s">
        <v>1075</v>
      </c>
      <c r="B716">
        <v>1275</v>
      </c>
      <c r="C716" s="5">
        <v>99.447999999999993</v>
      </c>
      <c r="D716">
        <v>1.6579999999999899</v>
      </c>
      <c r="E716" t="s">
        <v>10</v>
      </c>
      <c r="F716" t="s">
        <v>10</v>
      </c>
      <c r="G716" t="s">
        <v>10</v>
      </c>
      <c r="H716" t="s">
        <v>418</v>
      </c>
      <c r="I716" t="s">
        <v>419</v>
      </c>
      <c r="J716" t="s">
        <v>2038</v>
      </c>
      <c r="K716" t="s">
        <v>2038</v>
      </c>
    </row>
    <row r="717" spans="1:12" ht="16" x14ac:dyDescent="0.2">
      <c r="A717" t="s">
        <v>689</v>
      </c>
      <c r="B717">
        <v>695</v>
      </c>
      <c r="C717" s="5">
        <v>99.447999999999993</v>
      </c>
      <c r="D717">
        <v>0.55299999999999705</v>
      </c>
      <c r="E717" t="s">
        <v>10</v>
      </c>
      <c r="F717" t="s">
        <v>10</v>
      </c>
      <c r="G717" t="s">
        <v>690</v>
      </c>
      <c r="H717" t="str">
        <f>LEFT(I717, FIND(" sp.", I717) - 1)</f>
        <v>Hemerobiidae</v>
      </c>
      <c r="I717" t="s">
        <v>691</v>
      </c>
      <c r="J717" t="s">
        <v>2038</v>
      </c>
      <c r="K717" t="s">
        <v>2038</v>
      </c>
    </row>
    <row r="718" spans="1:12" ht="16" x14ac:dyDescent="0.2">
      <c r="A718" t="s">
        <v>1557</v>
      </c>
      <c r="B718">
        <v>1909</v>
      </c>
      <c r="C718" s="5">
        <v>99.447999999999993</v>
      </c>
      <c r="D718">
        <v>0.55299999999999705</v>
      </c>
      <c r="E718" t="s">
        <v>10</v>
      </c>
      <c r="F718" t="s">
        <v>10</v>
      </c>
      <c r="G718" t="s">
        <v>10</v>
      </c>
      <c r="H718" t="s">
        <v>1558</v>
      </c>
      <c r="I718" t="s">
        <v>1559</v>
      </c>
      <c r="J718" t="s">
        <v>2038</v>
      </c>
      <c r="K718" t="s">
        <v>2038</v>
      </c>
    </row>
    <row r="719" spans="1:12" ht="16" x14ac:dyDescent="0.2">
      <c r="A719" t="s">
        <v>1742</v>
      </c>
      <c r="B719">
        <v>2165</v>
      </c>
      <c r="C719" s="5">
        <v>99.447999999999993</v>
      </c>
      <c r="D719">
        <v>0.55299999999999705</v>
      </c>
      <c r="E719" t="s">
        <v>10</v>
      </c>
      <c r="F719" t="s">
        <v>10</v>
      </c>
      <c r="G719" t="s">
        <v>10</v>
      </c>
      <c r="H719" t="s">
        <v>1558</v>
      </c>
      <c r="I719" t="s">
        <v>1559</v>
      </c>
      <c r="J719" t="s">
        <v>2038</v>
      </c>
      <c r="K719" t="s">
        <v>2038</v>
      </c>
    </row>
    <row r="720" spans="1:12" ht="16" x14ac:dyDescent="0.2">
      <c r="A720" t="s">
        <v>1646</v>
      </c>
      <c r="B720">
        <v>2013</v>
      </c>
      <c r="C720" s="5">
        <v>99.447999999999993</v>
      </c>
      <c r="D720">
        <v>0.55299999999999705</v>
      </c>
      <c r="E720" t="s">
        <v>10</v>
      </c>
      <c r="F720" t="s">
        <v>10</v>
      </c>
      <c r="G720" t="s">
        <v>10</v>
      </c>
      <c r="H720" t="s">
        <v>1473</v>
      </c>
      <c r="I720" t="s">
        <v>1474</v>
      </c>
      <c r="J720" t="s">
        <v>2038</v>
      </c>
      <c r="K720" t="s">
        <v>2038</v>
      </c>
    </row>
    <row r="721" spans="1:12" ht="16" x14ac:dyDescent="0.2">
      <c r="A721" t="s">
        <v>1973</v>
      </c>
      <c r="B721">
        <v>2499</v>
      </c>
      <c r="C721" s="5">
        <v>99.447999999999993</v>
      </c>
      <c r="D721">
        <v>1.10499999999999</v>
      </c>
      <c r="E721" t="s">
        <v>10</v>
      </c>
      <c r="F721" t="s">
        <v>1619</v>
      </c>
      <c r="G721" t="s">
        <v>1620</v>
      </c>
      <c r="H721" t="str">
        <f>LEFT(I721, FIND(" sp.", I721) - 1)</f>
        <v>Moriomorphini</v>
      </c>
      <c r="I721" t="s">
        <v>1621</v>
      </c>
      <c r="J721" t="s">
        <v>2038</v>
      </c>
      <c r="K721" t="s">
        <v>2038</v>
      </c>
    </row>
    <row r="722" spans="1:12" ht="16" x14ac:dyDescent="0.2">
      <c r="A722" t="s">
        <v>1373</v>
      </c>
      <c r="B722">
        <v>1629</v>
      </c>
      <c r="C722" s="5">
        <v>99.447999999999993</v>
      </c>
      <c r="D722">
        <v>3.3149999999999999</v>
      </c>
      <c r="E722" t="s">
        <v>10</v>
      </c>
      <c r="F722" t="s">
        <v>11</v>
      </c>
      <c r="G722" t="s">
        <v>891</v>
      </c>
      <c r="H722" t="s">
        <v>1374</v>
      </c>
      <c r="I722" t="s">
        <v>1375</v>
      </c>
      <c r="J722" t="s">
        <v>2038</v>
      </c>
      <c r="K722" t="s">
        <v>2038</v>
      </c>
    </row>
    <row r="723" spans="1:12" ht="16" x14ac:dyDescent="0.2">
      <c r="A723" t="s">
        <v>1402</v>
      </c>
      <c r="B723">
        <v>1674</v>
      </c>
      <c r="C723" s="5">
        <v>99.447999999999993</v>
      </c>
      <c r="D723">
        <v>3.9999999999906803E-3</v>
      </c>
      <c r="E723" t="s">
        <v>10</v>
      </c>
      <c r="F723" t="s">
        <v>10</v>
      </c>
      <c r="G723" t="s">
        <v>10</v>
      </c>
      <c r="H723" t="s">
        <v>809</v>
      </c>
      <c r="I723" t="s">
        <v>810</v>
      </c>
      <c r="J723" t="s">
        <v>2038</v>
      </c>
      <c r="K723" t="s">
        <v>2038</v>
      </c>
    </row>
    <row r="724" spans="1:12" ht="16" x14ac:dyDescent="0.2">
      <c r="A724" t="s">
        <v>202</v>
      </c>
      <c r="B724">
        <v>143</v>
      </c>
      <c r="C724" s="5">
        <v>99.447999999999993</v>
      </c>
      <c r="D724">
        <v>0</v>
      </c>
      <c r="E724" t="s">
        <v>10</v>
      </c>
      <c r="F724" t="s">
        <v>10</v>
      </c>
      <c r="G724" t="s">
        <v>137</v>
      </c>
      <c r="H724" t="s">
        <v>138</v>
      </c>
      <c r="I724" t="s">
        <v>139</v>
      </c>
      <c r="J724" t="s">
        <v>2038</v>
      </c>
      <c r="K724" t="s">
        <v>2038</v>
      </c>
    </row>
    <row r="725" spans="1:12" ht="16" x14ac:dyDescent="0.2">
      <c r="A725" t="s">
        <v>796</v>
      </c>
      <c r="B725">
        <v>848</v>
      </c>
      <c r="C725" s="5">
        <v>99.447999999999993</v>
      </c>
      <c r="D725">
        <v>0.15199999999998701</v>
      </c>
      <c r="E725" t="s">
        <v>10</v>
      </c>
      <c r="F725" t="s">
        <v>10</v>
      </c>
      <c r="G725" t="s">
        <v>10</v>
      </c>
      <c r="H725" t="s">
        <v>138</v>
      </c>
      <c r="I725" t="s">
        <v>139</v>
      </c>
      <c r="J725" t="s">
        <v>2038</v>
      </c>
      <c r="K725" t="s">
        <v>2038</v>
      </c>
    </row>
    <row r="726" spans="1:12" ht="16" x14ac:dyDescent="0.2">
      <c r="A726" t="s">
        <v>989</v>
      </c>
      <c r="B726">
        <v>1144</v>
      </c>
      <c r="C726" s="5">
        <v>99.447999999999993</v>
      </c>
      <c r="D726">
        <v>0.55299999999999705</v>
      </c>
      <c r="E726" t="s">
        <v>10</v>
      </c>
      <c r="F726" t="s">
        <v>10</v>
      </c>
      <c r="G726" t="s">
        <v>10</v>
      </c>
      <c r="H726" t="s">
        <v>138</v>
      </c>
      <c r="I726" t="s">
        <v>137</v>
      </c>
      <c r="J726" t="s">
        <v>2038</v>
      </c>
      <c r="K726" t="s">
        <v>2038</v>
      </c>
    </row>
    <row r="727" spans="1:12" ht="16" x14ac:dyDescent="0.2">
      <c r="A727" t="s">
        <v>1147</v>
      </c>
      <c r="B727">
        <v>1375</v>
      </c>
      <c r="C727" s="5">
        <v>99.447999999999993</v>
      </c>
      <c r="D727">
        <v>0.55299999999999705</v>
      </c>
      <c r="E727" t="s">
        <v>10</v>
      </c>
      <c r="F727" t="s">
        <v>10</v>
      </c>
      <c r="G727" t="s">
        <v>10</v>
      </c>
      <c r="H727" t="s">
        <v>138</v>
      </c>
      <c r="I727" t="s">
        <v>137</v>
      </c>
      <c r="J727" t="s">
        <v>2038</v>
      </c>
      <c r="K727" t="s">
        <v>2038</v>
      </c>
    </row>
    <row r="728" spans="1:12" ht="16" x14ac:dyDescent="0.2">
      <c r="A728" t="s">
        <v>296</v>
      </c>
      <c r="B728">
        <v>207</v>
      </c>
      <c r="C728" s="5">
        <v>99.447999999999993</v>
      </c>
      <c r="D728">
        <v>0.55299999999999705</v>
      </c>
      <c r="E728" t="s">
        <v>10</v>
      </c>
      <c r="F728" t="s">
        <v>10</v>
      </c>
      <c r="G728" t="s">
        <v>10</v>
      </c>
      <c r="H728" t="s">
        <v>138</v>
      </c>
      <c r="I728" t="s">
        <v>137</v>
      </c>
      <c r="J728" t="s">
        <v>2038</v>
      </c>
      <c r="K728" t="s">
        <v>2038</v>
      </c>
    </row>
    <row r="729" spans="1:12" ht="16" x14ac:dyDescent="0.2">
      <c r="A729" t="s">
        <v>1441</v>
      </c>
      <c r="B729">
        <v>1756</v>
      </c>
      <c r="C729" s="5">
        <v>99.447999999999993</v>
      </c>
      <c r="D729">
        <v>0</v>
      </c>
      <c r="E729" t="s">
        <v>10</v>
      </c>
      <c r="F729" t="s">
        <v>10</v>
      </c>
      <c r="G729" t="s">
        <v>1442</v>
      </c>
      <c r="H729" t="str">
        <f>LEFT(I729, FIND(" sp.", I729) - 1)</f>
        <v>Orthocladiinae</v>
      </c>
      <c r="I729" t="s">
        <v>1443</v>
      </c>
      <c r="J729" t="s">
        <v>2038</v>
      </c>
      <c r="K729" t="s">
        <v>2038</v>
      </c>
    </row>
    <row r="730" spans="1:12" ht="16" x14ac:dyDescent="0.2">
      <c r="A730" t="s">
        <v>529</v>
      </c>
      <c r="B730">
        <v>524</v>
      </c>
      <c r="C730" s="5">
        <v>99.453999999999994</v>
      </c>
      <c r="D730">
        <v>8.1969999999999903</v>
      </c>
      <c r="E730" t="s">
        <v>10</v>
      </c>
      <c r="F730" t="s">
        <v>530</v>
      </c>
      <c r="G730" t="s">
        <v>531</v>
      </c>
      <c r="H730" t="s">
        <v>532</v>
      </c>
      <c r="I730" t="s">
        <v>533</v>
      </c>
      <c r="J730" t="s">
        <v>2038</v>
      </c>
      <c r="K730" t="s">
        <v>2038</v>
      </c>
    </row>
    <row r="731" spans="1:12" ht="16" x14ac:dyDescent="0.2">
      <c r="A731" t="s">
        <v>2018</v>
      </c>
      <c r="B731">
        <v>2567</v>
      </c>
      <c r="C731" s="5">
        <v>99.456999999999994</v>
      </c>
      <c r="D731">
        <v>0</v>
      </c>
      <c r="E731" t="s">
        <v>10</v>
      </c>
      <c r="F731" t="s">
        <v>20</v>
      </c>
      <c r="G731" t="s">
        <v>1789</v>
      </c>
      <c r="H731" t="s">
        <v>1790</v>
      </c>
      <c r="I731" t="s">
        <v>1791</v>
      </c>
      <c r="J731" t="s">
        <v>2038</v>
      </c>
      <c r="K731" t="s">
        <v>2038</v>
      </c>
    </row>
    <row r="732" spans="1:12" ht="16" x14ac:dyDescent="0.2">
      <c r="A732" t="s">
        <v>216</v>
      </c>
      <c r="B732">
        <v>155</v>
      </c>
      <c r="C732" s="5">
        <v>100</v>
      </c>
      <c r="D732">
        <v>100</v>
      </c>
      <c r="H732" t="s">
        <v>217</v>
      </c>
      <c r="I732" t="s">
        <v>218</v>
      </c>
      <c r="J732" t="s">
        <v>2038</v>
      </c>
      <c r="K732" t="s">
        <v>2038</v>
      </c>
      <c r="L732" t="s">
        <v>2040</v>
      </c>
    </row>
    <row r="733" spans="1:12" ht="16" x14ac:dyDescent="0.2">
      <c r="A733" t="s">
        <v>1920</v>
      </c>
      <c r="B733">
        <v>2361</v>
      </c>
      <c r="C733" s="5">
        <v>100</v>
      </c>
      <c r="D733">
        <v>0.71399999999999897</v>
      </c>
      <c r="E733" t="s">
        <v>10</v>
      </c>
      <c r="F733" t="s">
        <v>10</v>
      </c>
      <c r="G733" t="s">
        <v>1921</v>
      </c>
      <c r="H733" t="s">
        <v>1922</v>
      </c>
      <c r="I733" t="s">
        <v>1923</v>
      </c>
      <c r="J733" t="s">
        <v>2038</v>
      </c>
      <c r="K733" t="s">
        <v>2038</v>
      </c>
      <c r="L733" t="s">
        <v>2040</v>
      </c>
    </row>
    <row r="734" spans="1:12" ht="16" x14ac:dyDescent="0.2">
      <c r="A734" t="s">
        <v>55</v>
      </c>
      <c r="B734">
        <v>23</v>
      </c>
      <c r="C734" s="5">
        <v>100</v>
      </c>
      <c r="D734">
        <v>7.3169999999999904</v>
      </c>
      <c r="E734" t="s">
        <v>10</v>
      </c>
      <c r="F734" t="s">
        <v>11</v>
      </c>
      <c r="G734" t="s">
        <v>56</v>
      </c>
      <c r="H734" t="s">
        <v>57</v>
      </c>
      <c r="I734" t="s">
        <v>58</v>
      </c>
      <c r="J734" t="s">
        <v>2038</v>
      </c>
      <c r="K734" t="s">
        <v>2038</v>
      </c>
      <c r="L734" t="s">
        <v>2040</v>
      </c>
    </row>
    <row r="735" spans="1:12" ht="16" x14ac:dyDescent="0.2">
      <c r="A735" t="s">
        <v>389</v>
      </c>
      <c r="B735">
        <v>305</v>
      </c>
      <c r="C735" s="5">
        <v>100</v>
      </c>
      <c r="D735">
        <v>2.2099999999999902</v>
      </c>
      <c r="E735" t="s">
        <v>10</v>
      </c>
      <c r="F735" t="s">
        <v>10</v>
      </c>
      <c r="G735" t="s">
        <v>10</v>
      </c>
      <c r="H735" t="s">
        <v>390</v>
      </c>
      <c r="I735" t="s">
        <v>391</v>
      </c>
      <c r="J735" t="s">
        <v>2038</v>
      </c>
      <c r="K735" t="s">
        <v>2038</v>
      </c>
      <c r="L735" t="s">
        <v>2040</v>
      </c>
    </row>
    <row r="736" spans="1:12" ht="16" x14ac:dyDescent="0.2">
      <c r="A736" t="s">
        <v>703</v>
      </c>
      <c r="B736">
        <v>707</v>
      </c>
      <c r="C736" s="5">
        <v>100</v>
      </c>
      <c r="D736">
        <v>0.55200000000000704</v>
      </c>
      <c r="E736" t="s">
        <v>10</v>
      </c>
      <c r="F736" t="s">
        <v>10</v>
      </c>
      <c r="G736" t="s">
        <v>10</v>
      </c>
      <c r="H736" t="s">
        <v>390</v>
      </c>
      <c r="I736" t="s">
        <v>391</v>
      </c>
      <c r="J736" t="s">
        <v>2038</v>
      </c>
      <c r="K736" t="s">
        <v>2038</v>
      </c>
      <c r="L736" t="s">
        <v>2040</v>
      </c>
    </row>
    <row r="737" spans="1:12" ht="16" x14ac:dyDescent="0.2">
      <c r="A737" t="s">
        <v>876</v>
      </c>
      <c r="B737">
        <v>949</v>
      </c>
      <c r="C737" s="5">
        <v>100</v>
      </c>
      <c r="D737">
        <v>0</v>
      </c>
      <c r="E737" t="s">
        <v>10</v>
      </c>
      <c r="F737" t="s">
        <v>10</v>
      </c>
      <c r="G737" t="s">
        <v>342</v>
      </c>
      <c r="H737" t="str">
        <f>LEFT(I737, FIND(" sp.", I737) - 1)</f>
        <v>Tettigoniidae</v>
      </c>
      <c r="I737" t="s">
        <v>341</v>
      </c>
      <c r="J737" t="s">
        <v>2038</v>
      </c>
      <c r="K737" t="s">
        <v>2038</v>
      </c>
      <c r="L737" t="s">
        <v>2040</v>
      </c>
    </row>
    <row r="738" spans="1:12" ht="16" x14ac:dyDescent="0.2">
      <c r="A738" t="s">
        <v>1043</v>
      </c>
      <c r="B738">
        <v>1229</v>
      </c>
      <c r="C738" s="5">
        <v>100</v>
      </c>
      <c r="D738">
        <v>0.55200000000000704</v>
      </c>
      <c r="J738" t="s">
        <v>2038</v>
      </c>
      <c r="K738" t="s">
        <v>2038</v>
      </c>
      <c r="L738" t="s">
        <v>2040</v>
      </c>
    </row>
    <row r="739" spans="1:12" ht="16" x14ac:dyDescent="0.2">
      <c r="A739" t="s">
        <v>175</v>
      </c>
      <c r="B739">
        <v>123</v>
      </c>
      <c r="C739" s="5">
        <v>100</v>
      </c>
      <c r="D739">
        <v>0.55200000000000704</v>
      </c>
      <c r="E739" t="s">
        <v>10</v>
      </c>
      <c r="F739" t="s">
        <v>176</v>
      </c>
      <c r="J739" t="s">
        <v>2038</v>
      </c>
      <c r="K739" t="s">
        <v>2038</v>
      </c>
      <c r="L739" t="s">
        <v>2040</v>
      </c>
    </row>
    <row r="740" spans="1:12" ht="16" x14ac:dyDescent="0.2">
      <c r="A740" t="s">
        <v>504</v>
      </c>
      <c r="B740">
        <v>480</v>
      </c>
      <c r="C740" s="5">
        <v>100</v>
      </c>
      <c r="D740">
        <v>100</v>
      </c>
      <c r="J740" t="s">
        <v>2038</v>
      </c>
      <c r="K740" t="s">
        <v>2038</v>
      </c>
      <c r="L740" t="s">
        <v>2040</v>
      </c>
    </row>
    <row r="741" spans="1:12" ht="16" x14ac:dyDescent="0.2">
      <c r="A741" t="s">
        <v>885</v>
      </c>
      <c r="B741">
        <v>985</v>
      </c>
      <c r="C741" s="5">
        <v>100</v>
      </c>
      <c r="D741">
        <v>3.3149999999999999</v>
      </c>
      <c r="E741" t="s">
        <v>886</v>
      </c>
      <c r="F741" t="s">
        <v>887</v>
      </c>
      <c r="J741" t="s">
        <v>2038</v>
      </c>
      <c r="K741" t="s">
        <v>2038</v>
      </c>
      <c r="L741" t="s">
        <v>2040</v>
      </c>
    </row>
    <row r="742" spans="1:12" ht="16" x14ac:dyDescent="0.2">
      <c r="A742" t="s">
        <v>510</v>
      </c>
      <c r="B742">
        <v>488</v>
      </c>
      <c r="C742" s="5">
        <v>100</v>
      </c>
      <c r="D742">
        <v>100</v>
      </c>
      <c r="H742" t="s">
        <v>511</v>
      </c>
      <c r="I742" t="s">
        <v>512</v>
      </c>
      <c r="J742" t="s">
        <v>2038</v>
      </c>
      <c r="K742" t="s">
        <v>2038</v>
      </c>
      <c r="L742" t="s">
        <v>10</v>
      </c>
    </row>
    <row r="743" spans="1:12" ht="16" x14ac:dyDescent="0.2">
      <c r="A743" t="s">
        <v>650</v>
      </c>
      <c r="B743">
        <v>658</v>
      </c>
      <c r="C743" s="5">
        <v>100</v>
      </c>
      <c r="D743">
        <v>6.78</v>
      </c>
      <c r="E743" t="s">
        <v>651</v>
      </c>
      <c r="F743" t="s">
        <v>652</v>
      </c>
      <c r="G743" t="s">
        <v>653</v>
      </c>
      <c r="H743" t="s">
        <v>511</v>
      </c>
      <c r="I743" t="s">
        <v>512</v>
      </c>
      <c r="J743" t="s">
        <v>2038</v>
      </c>
      <c r="K743" t="s">
        <v>2038</v>
      </c>
      <c r="L743" t="s">
        <v>10</v>
      </c>
    </row>
    <row r="744" spans="1:12" ht="16" x14ac:dyDescent="0.2">
      <c r="A744" t="s">
        <v>900</v>
      </c>
      <c r="B744">
        <v>1008</v>
      </c>
      <c r="C744" s="5">
        <v>100</v>
      </c>
      <c r="D744">
        <v>100</v>
      </c>
      <c r="H744" t="s">
        <v>901</v>
      </c>
      <c r="I744" t="s">
        <v>902</v>
      </c>
      <c r="J744" t="s">
        <v>2038</v>
      </c>
      <c r="K744" t="s">
        <v>2038</v>
      </c>
      <c r="L744" t="s">
        <v>10</v>
      </c>
    </row>
    <row r="745" spans="1:12" ht="16" x14ac:dyDescent="0.2">
      <c r="A745" t="s">
        <v>219</v>
      </c>
      <c r="B745">
        <v>159</v>
      </c>
      <c r="C745" s="5">
        <v>100</v>
      </c>
      <c r="D745">
        <v>0</v>
      </c>
      <c r="E745" t="s">
        <v>10</v>
      </c>
      <c r="F745" t="s">
        <v>10</v>
      </c>
      <c r="G745" t="s">
        <v>220</v>
      </c>
      <c r="H745" t="s">
        <v>222</v>
      </c>
      <c r="I745" t="s">
        <v>223</v>
      </c>
      <c r="J745" t="s">
        <v>2038</v>
      </c>
      <c r="K745" t="s">
        <v>2038</v>
      </c>
      <c r="L745" t="s">
        <v>10</v>
      </c>
    </row>
    <row r="746" spans="1:12" ht="16" x14ac:dyDescent="0.2">
      <c r="A746" t="s">
        <v>894</v>
      </c>
      <c r="B746">
        <v>1000</v>
      </c>
      <c r="C746" s="5">
        <v>100</v>
      </c>
      <c r="D746">
        <v>1.105</v>
      </c>
      <c r="E746" t="s">
        <v>10</v>
      </c>
      <c r="F746" t="s">
        <v>10</v>
      </c>
      <c r="G746" t="s">
        <v>10</v>
      </c>
      <c r="H746" t="s">
        <v>895</v>
      </c>
      <c r="I746" t="s">
        <v>896</v>
      </c>
      <c r="J746" t="s">
        <v>2038</v>
      </c>
      <c r="K746" t="s">
        <v>2038</v>
      </c>
      <c r="L746" t="s">
        <v>10</v>
      </c>
    </row>
    <row r="747" spans="1:12" ht="16" x14ac:dyDescent="0.2">
      <c r="A747" t="s">
        <v>306</v>
      </c>
      <c r="B747">
        <v>217</v>
      </c>
      <c r="C747" s="5">
        <v>100</v>
      </c>
      <c r="D747">
        <v>0.55200000000000704</v>
      </c>
      <c r="E747" t="s">
        <v>10</v>
      </c>
      <c r="F747" t="s">
        <v>10</v>
      </c>
      <c r="G747" t="s">
        <v>307</v>
      </c>
      <c r="H747" t="str">
        <f>LEFT(I747, FIND(" sp.", I747) - 1)</f>
        <v>Anystidae</v>
      </c>
      <c r="I747" t="s">
        <v>308</v>
      </c>
      <c r="J747" t="s">
        <v>2038</v>
      </c>
      <c r="K747" t="s">
        <v>2038</v>
      </c>
      <c r="L747" t="s">
        <v>10</v>
      </c>
    </row>
    <row r="748" spans="1:12" ht="16" x14ac:dyDescent="0.2">
      <c r="A748" t="s">
        <v>1543</v>
      </c>
      <c r="B748">
        <v>1892</v>
      </c>
      <c r="C748" s="5">
        <v>100</v>
      </c>
      <c r="D748">
        <v>5.5869999999999997</v>
      </c>
      <c r="E748" t="s">
        <v>10</v>
      </c>
      <c r="F748" t="s">
        <v>10</v>
      </c>
      <c r="G748" t="s">
        <v>1544</v>
      </c>
      <c r="H748" t="s">
        <v>1395</v>
      </c>
      <c r="I748" t="s">
        <v>1545</v>
      </c>
      <c r="J748" t="s">
        <v>2038</v>
      </c>
      <c r="K748" t="s">
        <v>2038</v>
      </c>
      <c r="L748" t="s">
        <v>10</v>
      </c>
    </row>
    <row r="749" spans="1:12" ht="16" x14ac:dyDescent="0.2">
      <c r="A749" t="s">
        <v>1049</v>
      </c>
      <c r="B749">
        <v>1242</v>
      </c>
      <c r="C749" s="5">
        <v>100</v>
      </c>
      <c r="D749">
        <v>100</v>
      </c>
      <c r="H749" t="s">
        <v>372</v>
      </c>
      <c r="I749" t="s">
        <v>1050</v>
      </c>
      <c r="J749" t="s">
        <v>2038</v>
      </c>
      <c r="K749" t="s">
        <v>2038</v>
      </c>
      <c r="L749" t="s">
        <v>10</v>
      </c>
    </row>
    <row r="750" spans="1:12" ht="16" x14ac:dyDescent="0.2">
      <c r="A750" t="s">
        <v>371</v>
      </c>
      <c r="B750">
        <v>291</v>
      </c>
      <c r="C750" s="5">
        <v>100</v>
      </c>
      <c r="D750">
        <v>100</v>
      </c>
      <c r="H750" t="s">
        <v>372</v>
      </c>
      <c r="I750" t="s">
        <v>373</v>
      </c>
      <c r="J750" t="s">
        <v>2038</v>
      </c>
      <c r="K750" t="s">
        <v>2038</v>
      </c>
      <c r="L750" t="s">
        <v>10</v>
      </c>
    </row>
    <row r="751" spans="1:12" ht="16" x14ac:dyDescent="0.2">
      <c r="A751" t="s">
        <v>939</v>
      </c>
      <c r="B751">
        <v>1051</v>
      </c>
      <c r="C751" s="5">
        <v>100</v>
      </c>
      <c r="D751">
        <v>0</v>
      </c>
      <c r="E751" t="s">
        <v>10</v>
      </c>
      <c r="F751" t="s">
        <v>10</v>
      </c>
      <c r="G751" t="s">
        <v>940</v>
      </c>
      <c r="H751" t="s">
        <v>941</v>
      </c>
      <c r="I751" t="s">
        <v>942</v>
      </c>
      <c r="J751" t="s">
        <v>2038</v>
      </c>
      <c r="K751" t="s">
        <v>2038</v>
      </c>
      <c r="L751" t="s">
        <v>10</v>
      </c>
    </row>
    <row r="752" spans="1:12" ht="16" x14ac:dyDescent="0.2">
      <c r="A752" t="s">
        <v>1381</v>
      </c>
      <c r="B752">
        <v>1639</v>
      </c>
      <c r="C752" s="5">
        <v>100</v>
      </c>
      <c r="D752">
        <v>0</v>
      </c>
      <c r="E752" t="s">
        <v>10</v>
      </c>
      <c r="F752" t="s">
        <v>10</v>
      </c>
      <c r="G752" t="s">
        <v>1382</v>
      </c>
      <c r="H752" t="s">
        <v>614</v>
      </c>
      <c r="I752" t="s">
        <v>615</v>
      </c>
      <c r="J752" t="s">
        <v>2038</v>
      </c>
      <c r="K752" t="s">
        <v>2038</v>
      </c>
      <c r="L752" t="s">
        <v>10</v>
      </c>
    </row>
    <row r="753" spans="1:12" ht="16" x14ac:dyDescent="0.2">
      <c r="A753" t="s">
        <v>1454</v>
      </c>
      <c r="B753">
        <v>1781</v>
      </c>
      <c r="C753" s="5">
        <v>100</v>
      </c>
      <c r="D753">
        <v>100</v>
      </c>
      <c r="H753" t="s">
        <v>614</v>
      </c>
      <c r="I753" t="s">
        <v>615</v>
      </c>
      <c r="J753" t="s">
        <v>2038</v>
      </c>
      <c r="K753" t="s">
        <v>2038</v>
      </c>
      <c r="L753" t="s">
        <v>10</v>
      </c>
    </row>
    <row r="754" spans="1:12" ht="16" x14ac:dyDescent="0.2">
      <c r="A754" t="s">
        <v>300</v>
      </c>
      <c r="B754">
        <v>213</v>
      </c>
      <c r="C754" s="5">
        <v>100</v>
      </c>
      <c r="D754">
        <v>100</v>
      </c>
      <c r="H754" t="str">
        <f>LEFT(I754, FIND(" sp.", I754) - 1)</f>
        <v>Ascidae</v>
      </c>
      <c r="I754" t="s">
        <v>301</v>
      </c>
      <c r="J754" t="s">
        <v>2038</v>
      </c>
      <c r="K754" t="s">
        <v>2038</v>
      </c>
      <c r="L754" t="s">
        <v>10</v>
      </c>
    </row>
    <row r="755" spans="1:12" ht="16" x14ac:dyDescent="0.2">
      <c r="A755" t="s">
        <v>1051</v>
      </c>
      <c r="B755">
        <v>1243</v>
      </c>
      <c r="C755" s="5">
        <v>100</v>
      </c>
      <c r="D755">
        <v>0</v>
      </c>
      <c r="E755" t="s">
        <v>10</v>
      </c>
      <c r="H755" t="s">
        <v>1052</v>
      </c>
      <c r="I755" t="s">
        <v>1053</v>
      </c>
      <c r="J755" t="s">
        <v>2038</v>
      </c>
      <c r="K755" t="s">
        <v>2038</v>
      </c>
      <c r="L755" t="s">
        <v>10</v>
      </c>
    </row>
    <row r="756" spans="1:12" ht="16" x14ac:dyDescent="0.2">
      <c r="A756" t="s">
        <v>1432</v>
      </c>
      <c r="B756">
        <v>1739</v>
      </c>
      <c r="C756" s="5">
        <v>100</v>
      </c>
      <c r="D756">
        <v>0</v>
      </c>
      <c r="E756" t="s">
        <v>10</v>
      </c>
      <c r="H756" t="s">
        <v>1052</v>
      </c>
      <c r="I756" t="s">
        <v>1053</v>
      </c>
      <c r="J756" t="s">
        <v>2038</v>
      </c>
      <c r="K756" t="s">
        <v>2038</v>
      </c>
      <c r="L756" t="s">
        <v>10</v>
      </c>
    </row>
    <row r="757" spans="1:12" ht="16" x14ac:dyDescent="0.2">
      <c r="A757" t="s">
        <v>1662</v>
      </c>
      <c r="B757">
        <v>2044</v>
      </c>
      <c r="C757" s="5">
        <v>100</v>
      </c>
      <c r="D757">
        <v>6.70399999999999</v>
      </c>
      <c r="E757" t="s">
        <v>1163</v>
      </c>
      <c r="F757" t="s">
        <v>1663</v>
      </c>
      <c r="G757" t="s">
        <v>1664</v>
      </c>
      <c r="H757" t="s">
        <v>415</v>
      </c>
      <c r="I757" t="s">
        <v>1665</v>
      </c>
      <c r="J757" t="s">
        <v>2038</v>
      </c>
      <c r="K757" t="s">
        <v>2038</v>
      </c>
      <c r="L757" t="s">
        <v>10</v>
      </c>
    </row>
    <row r="758" spans="1:12" ht="16" x14ac:dyDescent="0.2">
      <c r="A758" t="s">
        <v>1640</v>
      </c>
      <c r="B758">
        <v>2007</v>
      </c>
      <c r="C758" s="5">
        <v>100</v>
      </c>
      <c r="D758">
        <v>100</v>
      </c>
      <c r="H758" t="s">
        <v>337</v>
      </c>
      <c r="I758" t="s">
        <v>338</v>
      </c>
      <c r="J758" t="s">
        <v>2038</v>
      </c>
      <c r="K758" t="s">
        <v>2038</v>
      </c>
      <c r="L758" t="s">
        <v>10</v>
      </c>
    </row>
    <row r="759" spans="1:12" ht="16" x14ac:dyDescent="0.2">
      <c r="A759" t="s">
        <v>336</v>
      </c>
      <c r="B759">
        <v>249</v>
      </c>
      <c r="C759" s="5">
        <v>100</v>
      </c>
      <c r="D759">
        <v>100</v>
      </c>
      <c r="H759" t="s">
        <v>337</v>
      </c>
      <c r="I759" t="s">
        <v>338</v>
      </c>
      <c r="J759" t="s">
        <v>2038</v>
      </c>
      <c r="K759" t="s">
        <v>2038</v>
      </c>
      <c r="L759" t="s">
        <v>10</v>
      </c>
    </row>
    <row r="760" spans="1:12" ht="16" x14ac:dyDescent="0.2">
      <c r="A760" t="s">
        <v>717</v>
      </c>
      <c r="B760">
        <v>727</v>
      </c>
      <c r="C760" s="5">
        <v>100</v>
      </c>
      <c r="D760">
        <v>100</v>
      </c>
      <c r="H760" t="s">
        <v>337</v>
      </c>
      <c r="I760" t="s">
        <v>338</v>
      </c>
      <c r="J760" t="s">
        <v>2038</v>
      </c>
      <c r="K760" t="s">
        <v>2038</v>
      </c>
      <c r="L760" t="s">
        <v>10</v>
      </c>
    </row>
    <row r="761" spans="1:12" ht="16" x14ac:dyDescent="0.2">
      <c r="A761" t="s">
        <v>783</v>
      </c>
      <c r="B761">
        <v>829</v>
      </c>
      <c r="C761" s="5">
        <v>100</v>
      </c>
      <c r="D761">
        <v>100</v>
      </c>
      <c r="H761" t="s">
        <v>337</v>
      </c>
      <c r="I761" t="s">
        <v>338</v>
      </c>
      <c r="J761" t="s">
        <v>2038</v>
      </c>
      <c r="K761" t="s">
        <v>2038</v>
      </c>
      <c r="L761" t="s">
        <v>10</v>
      </c>
    </row>
    <row r="762" spans="1:12" ht="16" x14ac:dyDescent="0.2">
      <c r="A762" t="s">
        <v>784</v>
      </c>
      <c r="B762">
        <v>832</v>
      </c>
      <c r="C762" s="5">
        <v>100</v>
      </c>
      <c r="D762">
        <v>100</v>
      </c>
      <c r="H762" t="s">
        <v>337</v>
      </c>
      <c r="I762" t="s">
        <v>338</v>
      </c>
      <c r="J762" t="s">
        <v>2038</v>
      </c>
      <c r="K762" t="s">
        <v>2038</v>
      </c>
      <c r="L762" t="s">
        <v>10</v>
      </c>
    </row>
    <row r="763" spans="1:12" ht="16" x14ac:dyDescent="0.2">
      <c r="A763" t="s">
        <v>1107</v>
      </c>
      <c r="B763">
        <v>1308</v>
      </c>
      <c r="C763" s="5">
        <v>100</v>
      </c>
      <c r="D763">
        <v>2.762</v>
      </c>
      <c r="E763" t="s">
        <v>10</v>
      </c>
      <c r="F763" t="s">
        <v>10</v>
      </c>
      <c r="G763" t="s">
        <v>10</v>
      </c>
      <c r="H763" t="s">
        <v>310</v>
      </c>
      <c r="I763" t="s">
        <v>311</v>
      </c>
      <c r="J763" t="s">
        <v>2038</v>
      </c>
      <c r="K763" t="s">
        <v>2038</v>
      </c>
      <c r="L763" t="s">
        <v>10</v>
      </c>
    </row>
    <row r="764" spans="1:12" ht="16" x14ac:dyDescent="0.2">
      <c r="A764" t="s">
        <v>309</v>
      </c>
      <c r="B764">
        <v>223</v>
      </c>
      <c r="C764" s="5">
        <v>100</v>
      </c>
      <c r="D764">
        <v>2.762</v>
      </c>
      <c r="E764" t="s">
        <v>10</v>
      </c>
      <c r="F764" t="s">
        <v>10</v>
      </c>
      <c r="G764" t="s">
        <v>10</v>
      </c>
      <c r="H764" t="s">
        <v>310</v>
      </c>
      <c r="I764" t="s">
        <v>311</v>
      </c>
      <c r="J764" t="s">
        <v>2038</v>
      </c>
      <c r="K764" t="s">
        <v>2038</v>
      </c>
      <c r="L764" t="s">
        <v>10</v>
      </c>
    </row>
    <row r="765" spans="1:12" ht="16" x14ac:dyDescent="0.2">
      <c r="A765" t="s">
        <v>120</v>
      </c>
      <c r="B765">
        <v>69</v>
      </c>
      <c r="C765" s="5">
        <v>100</v>
      </c>
      <c r="D765">
        <v>100</v>
      </c>
      <c r="H765" t="s">
        <v>121</v>
      </c>
      <c r="I765" t="s">
        <v>122</v>
      </c>
      <c r="J765" t="s">
        <v>2038</v>
      </c>
      <c r="K765" t="s">
        <v>2038</v>
      </c>
      <c r="L765" t="s">
        <v>10</v>
      </c>
    </row>
    <row r="766" spans="1:12" ht="16" x14ac:dyDescent="0.2">
      <c r="A766" t="s">
        <v>767</v>
      </c>
      <c r="B766">
        <v>807</v>
      </c>
      <c r="C766" s="5">
        <v>100</v>
      </c>
      <c r="D766">
        <v>0</v>
      </c>
      <c r="E766" t="s">
        <v>10</v>
      </c>
      <c r="F766" t="s">
        <v>10</v>
      </c>
      <c r="G766" t="s">
        <v>768</v>
      </c>
      <c r="H766" t="str">
        <f>LEFT(I766, FIND(" sp.", I766) - 1)</f>
        <v>Camerobiidae</v>
      </c>
      <c r="I766" t="s">
        <v>769</v>
      </c>
      <c r="J766" t="s">
        <v>2038</v>
      </c>
      <c r="K766" t="s">
        <v>2038</v>
      </c>
      <c r="L766" t="s">
        <v>10</v>
      </c>
    </row>
    <row r="767" spans="1:12" ht="16" x14ac:dyDescent="0.2">
      <c r="A767" t="s">
        <v>84</v>
      </c>
      <c r="B767">
        <v>42</v>
      </c>
      <c r="C767" s="5">
        <v>100</v>
      </c>
      <c r="D767">
        <v>100</v>
      </c>
      <c r="H767" t="s">
        <v>85</v>
      </c>
      <c r="I767" t="s">
        <v>86</v>
      </c>
      <c r="J767" t="s">
        <v>2038</v>
      </c>
      <c r="K767" t="s">
        <v>2038</v>
      </c>
      <c r="L767" t="s">
        <v>10</v>
      </c>
    </row>
    <row r="768" spans="1:12" ht="16" x14ac:dyDescent="0.2">
      <c r="A768" t="s">
        <v>1751</v>
      </c>
      <c r="B768">
        <v>2171</v>
      </c>
      <c r="C768" s="5">
        <v>100</v>
      </c>
      <c r="D768">
        <v>0</v>
      </c>
      <c r="E768" t="s">
        <v>10</v>
      </c>
      <c r="F768" t="s">
        <v>10</v>
      </c>
      <c r="G768" t="s">
        <v>1752</v>
      </c>
      <c r="H768" t="s">
        <v>1753</v>
      </c>
      <c r="I768" t="s">
        <v>1754</v>
      </c>
      <c r="J768" t="s">
        <v>2038</v>
      </c>
      <c r="K768" t="s">
        <v>2038</v>
      </c>
      <c r="L768" t="s">
        <v>10</v>
      </c>
    </row>
    <row r="769" spans="1:12" ht="16" x14ac:dyDescent="0.2">
      <c r="A769" t="s">
        <v>1332</v>
      </c>
      <c r="B769">
        <v>1578</v>
      </c>
      <c r="C769" s="5">
        <v>100</v>
      </c>
      <c r="D769">
        <v>0.55200000000000704</v>
      </c>
      <c r="E769" t="s">
        <v>10</v>
      </c>
      <c r="F769" t="s">
        <v>10</v>
      </c>
      <c r="G769" t="s">
        <v>1333</v>
      </c>
      <c r="H769" t="s">
        <v>1334</v>
      </c>
      <c r="I769" t="s">
        <v>1335</v>
      </c>
      <c r="J769" t="s">
        <v>2038</v>
      </c>
      <c r="K769" t="s">
        <v>2038</v>
      </c>
      <c r="L769" t="s">
        <v>10</v>
      </c>
    </row>
    <row r="770" spans="1:12" ht="16" x14ac:dyDescent="0.2">
      <c r="A770" t="s">
        <v>718</v>
      </c>
      <c r="B770">
        <v>728</v>
      </c>
      <c r="C770" s="5">
        <v>100</v>
      </c>
      <c r="D770">
        <v>0</v>
      </c>
      <c r="E770" t="s">
        <v>10</v>
      </c>
      <c r="F770" t="s">
        <v>10</v>
      </c>
      <c r="G770" t="s">
        <v>719</v>
      </c>
      <c r="H770" t="str">
        <f>LEFT(I770, FIND(" sp.", I770) - 1)</f>
        <v>Chloropidae</v>
      </c>
      <c r="I770" t="s">
        <v>721</v>
      </c>
      <c r="J770" t="s">
        <v>2038</v>
      </c>
      <c r="K770" t="s">
        <v>2038</v>
      </c>
      <c r="L770" t="s">
        <v>10</v>
      </c>
    </row>
    <row r="771" spans="1:12" ht="16" x14ac:dyDescent="0.2">
      <c r="A771" t="s">
        <v>569</v>
      </c>
      <c r="B771">
        <v>576</v>
      </c>
      <c r="C771" s="5">
        <v>100</v>
      </c>
      <c r="D771">
        <v>100</v>
      </c>
      <c r="H771" t="s">
        <v>570</v>
      </c>
      <c r="I771" t="s">
        <v>571</v>
      </c>
      <c r="J771" t="s">
        <v>2038</v>
      </c>
      <c r="K771" t="s">
        <v>2038</v>
      </c>
      <c r="L771" t="s">
        <v>10</v>
      </c>
    </row>
    <row r="772" spans="1:12" ht="16" x14ac:dyDescent="0.2">
      <c r="A772" t="s">
        <v>606</v>
      </c>
      <c r="B772">
        <v>612</v>
      </c>
      <c r="C772" s="5">
        <v>100</v>
      </c>
      <c r="D772">
        <v>5.0280000000000102</v>
      </c>
      <c r="E772" t="s">
        <v>10</v>
      </c>
      <c r="F772" t="s">
        <v>10</v>
      </c>
      <c r="G772" t="s">
        <v>607</v>
      </c>
      <c r="H772" t="s">
        <v>608</v>
      </c>
      <c r="I772" t="s">
        <v>609</v>
      </c>
      <c r="J772" t="s">
        <v>2038</v>
      </c>
      <c r="K772" t="s">
        <v>2038</v>
      </c>
      <c r="L772" t="s">
        <v>10</v>
      </c>
    </row>
    <row r="773" spans="1:12" ht="16" x14ac:dyDescent="0.2">
      <c r="A773" t="s">
        <v>1728</v>
      </c>
      <c r="B773">
        <v>2146</v>
      </c>
      <c r="C773" s="5">
        <v>100</v>
      </c>
      <c r="D773">
        <v>7.7780000000000102</v>
      </c>
      <c r="E773" t="s">
        <v>10</v>
      </c>
      <c r="F773" t="s">
        <v>10</v>
      </c>
      <c r="G773" t="s">
        <v>1729</v>
      </c>
      <c r="H773" t="str">
        <f>LEFT(I773, FIND(" sp.", I773) - 1)</f>
        <v>Coccinellidae</v>
      </c>
      <c r="I773" t="s">
        <v>1275</v>
      </c>
      <c r="J773" t="s">
        <v>2038</v>
      </c>
      <c r="K773" t="s">
        <v>2038</v>
      </c>
      <c r="L773" t="s">
        <v>10</v>
      </c>
    </row>
    <row r="774" spans="1:12" ht="16" x14ac:dyDescent="0.2">
      <c r="A774" t="s">
        <v>474</v>
      </c>
      <c r="B774">
        <v>420</v>
      </c>
      <c r="C774" s="5">
        <v>100</v>
      </c>
      <c r="D774">
        <v>0</v>
      </c>
      <c r="E774" t="s">
        <v>10</v>
      </c>
      <c r="F774" t="s">
        <v>10</v>
      </c>
      <c r="G774" t="s">
        <v>475</v>
      </c>
      <c r="H774" t="s">
        <v>477</v>
      </c>
      <c r="I774" t="s">
        <v>478</v>
      </c>
      <c r="J774" t="s">
        <v>2038</v>
      </c>
      <c r="K774" t="s">
        <v>2038</v>
      </c>
      <c r="L774" t="s">
        <v>10</v>
      </c>
    </row>
    <row r="775" spans="1:12" ht="16" x14ac:dyDescent="0.2">
      <c r="A775" t="s">
        <v>1318</v>
      </c>
      <c r="B775">
        <v>1565</v>
      </c>
      <c r="C775" s="5">
        <v>100</v>
      </c>
      <c r="D775">
        <v>0</v>
      </c>
      <c r="E775" t="s">
        <v>10</v>
      </c>
      <c r="F775" t="s">
        <v>10</v>
      </c>
      <c r="G775" t="s">
        <v>1319</v>
      </c>
      <c r="H775" t="s">
        <v>477</v>
      </c>
      <c r="I775" t="s">
        <v>1320</v>
      </c>
      <c r="J775" t="s">
        <v>2038</v>
      </c>
      <c r="K775" t="s">
        <v>2038</v>
      </c>
      <c r="L775" t="s">
        <v>10</v>
      </c>
    </row>
    <row r="776" spans="1:12" ht="16" x14ac:dyDescent="0.2">
      <c r="A776" t="s">
        <v>1487</v>
      </c>
      <c r="B776">
        <v>1827</v>
      </c>
      <c r="C776" s="5">
        <v>100</v>
      </c>
      <c r="D776">
        <v>0</v>
      </c>
      <c r="E776" t="s">
        <v>10</v>
      </c>
      <c r="F776" t="s">
        <v>10</v>
      </c>
      <c r="G776" t="s">
        <v>1488</v>
      </c>
      <c r="H776" t="s">
        <v>1489</v>
      </c>
      <c r="I776" t="s">
        <v>1490</v>
      </c>
      <c r="J776" t="s">
        <v>2038</v>
      </c>
      <c r="K776" t="s">
        <v>2038</v>
      </c>
      <c r="L776" t="s">
        <v>10</v>
      </c>
    </row>
    <row r="777" spans="1:12" ht="16" x14ac:dyDescent="0.2">
      <c r="A777" t="s">
        <v>1242</v>
      </c>
      <c r="B777">
        <v>1494</v>
      </c>
      <c r="C777" s="5">
        <v>100</v>
      </c>
      <c r="D777">
        <v>3.867</v>
      </c>
      <c r="E777" t="s">
        <v>10</v>
      </c>
      <c r="F777" t="s">
        <v>10</v>
      </c>
      <c r="G777" t="s">
        <v>1243</v>
      </c>
      <c r="H777" t="s">
        <v>176</v>
      </c>
      <c r="I777" t="s">
        <v>1244</v>
      </c>
      <c r="J777" t="s">
        <v>2038</v>
      </c>
      <c r="K777" t="s">
        <v>2038</v>
      </c>
      <c r="L777" t="s">
        <v>10</v>
      </c>
    </row>
    <row r="778" spans="1:12" ht="16" x14ac:dyDescent="0.2">
      <c r="A778" t="s">
        <v>950</v>
      </c>
      <c r="B778">
        <v>1066</v>
      </c>
      <c r="C778" s="5">
        <v>100</v>
      </c>
      <c r="D778">
        <v>0</v>
      </c>
      <c r="E778" t="s">
        <v>10</v>
      </c>
      <c r="F778" t="s">
        <v>10</v>
      </c>
      <c r="G778" t="s">
        <v>951</v>
      </c>
      <c r="H778" t="s">
        <v>176</v>
      </c>
      <c r="I778" t="s">
        <v>952</v>
      </c>
      <c r="J778" t="s">
        <v>2038</v>
      </c>
      <c r="K778" t="s">
        <v>2038</v>
      </c>
      <c r="L778" t="s">
        <v>10</v>
      </c>
    </row>
    <row r="779" spans="1:12" ht="16" x14ac:dyDescent="0.2">
      <c r="A779" t="s">
        <v>958</v>
      </c>
      <c r="B779">
        <v>1072</v>
      </c>
      <c r="C779" s="5">
        <v>100</v>
      </c>
      <c r="D779">
        <v>0</v>
      </c>
      <c r="E779" t="s">
        <v>10</v>
      </c>
      <c r="F779" t="s">
        <v>10</v>
      </c>
      <c r="G779" t="s">
        <v>951</v>
      </c>
      <c r="H779" t="s">
        <v>176</v>
      </c>
      <c r="I779" t="s">
        <v>952</v>
      </c>
      <c r="J779" t="s">
        <v>2038</v>
      </c>
      <c r="K779" t="s">
        <v>2038</v>
      </c>
      <c r="L779" t="s">
        <v>10</v>
      </c>
    </row>
    <row r="780" spans="1:12" ht="16" x14ac:dyDescent="0.2">
      <c r="A780" t="s">
        <v>631</v>
      </c>
      <c r="B780">
        <v>635</v>
      </c>
      <c r="C780" s="5">
        <v>100</v>
      </c>
      <c r="D780">
        <v>1.657</v>
      </c>
      <c r="E780" t="s">
        <v>10</v>
      </c>
      <c r="F780" t="s">
        <v>10</v>
      </c>
      <c r="G780" t="s">
        <v>632</v>
      </c>
      <c r="H780" t="s">
        <v>176</v>
      </c>
      <c r="I780" t="s">
        <v>633</v>
      </c>
      <c r="J780" t="s">
        <v>2038</v>
      </c>
      <c r="K780" t="s">
        <v>2038</v>
      </c>
      <c r="L780" t="s">
        <v>10</v>
      </c>
    </row>
    <row r="781" spans="1:12" ht="16" x14ac:dyDescent="0.2">
      <c r="A781" t="s">
        <v>1068</v>
      </c>
      <c r="B781">
        <v>1271</v>
      </c>
      <c r="C781" s="5">
        <v>100</v>
      </c>
      <c r="D781">
        <v>100</v>
      </c>
      <c r="H781" t="s">
        <v>176</v>
      </c>
      <c r="I781" t="s">
        <v>264</v>
      </c>
      <c r="J781" t="s">
        <v>2038</v>
      </c>
      <c r="K781" t="s">
        <v>2038</v>
      </c>
      <c r="L781" t="s">
        <v>10</v>
      </c>
    </row>
    <row r="782" spans="1:12" ht="16" x14ac:dyDescent="0.2">
      <c r="A782" t="s">
        <v>263</v>
      </c>
      <c r="B782">
        <v>184</v>
      </c>
      <c r="C782" s="5">
        <v>100</v>
      </c>
      <c r="D782">
        <v>100</v>
      </c>
      <c r="H782" t="s">
        <v>176</v>
      </c>
      <c r="I782" t="s">
        <v>264</v>
      </c>
      <c r="J782" t="s">
        <v>2038</v>
      </c>
      <c r="K782" t="s">
        <v>2038</v>
      </c>
      <c r="L782" t="s">
        <v>10</v>
      </c>
    </row>
    <row r="783" spans="1:12" ht="16" x14ac:dyDescent="0.2">
      <c r="A783" t="s">
        <v>1718</v>
      </c>
      <c r="B783">
        <v>2123</v>
      </c>
      <c r="C783" s="5">
        <v>100</v>
      </c>
      <c r="D783">
        <v>0.55200000000000704</v>
      </c>
      <c r="E783" t="s">
        <v>10</v>
      </c>
      <c r="F783" t="s">
        <v>10</v>
      </c>
      <c r="G783" t="s">
        <v>1719</v>
      </c>
      <c r="H783" t="s">
        <v>176</v>
      </c>
      <c r="I783" t="s">
        <v>1536</v>
      </c>
      <c r="J783" t="s">
        <v>2038</v>
      </c>
      <c r="K783" t="s">
        <v>2038</v>
      </c>
      <c r="L783" t="s">
        <v>10</v>
      </c>
    </row>
    <row r="784" spans="1:12" ht="16" x14ac:dyDescent="0.2">
      <c r="A784" t="s">
        <v>87</v>
      </c>
      <c r="B784">
        <v>46</v>
      </c>
      <c r="C784" s="5">
        <v>100</v>
      </c>
      <c r="D784">
        <v>2.762</v>
      </c>
      <c r="E784" t="s">
        <v>11</v>
      </c>
      <c r="F784" t="s">
        <v>11</v>
      </c>
      <c r="G784" t="s">
        <v>88</v>
      </c>
      <c r="H784" t="s">
        <v>89</v>
      </c>
      <c r="I784" t="s">
        <v>90</v>
      </c>
      <c r="J784" t="s">
        <v>2038</v>
      </c>
      <c r="K784" t="s">
        <v>2038</v>
      </c>
      <c r="L784" t="s">
        <v>10</v>
      </c>
    </row>
    <row r="785" spans="1:12" ht="16" x14ac:dyDescent="0.2">
      <c r="A785" t="s">
        <v>518</v>
      </c>
      <c r="B785">
        <v>504</v>
      </c>
      <c r="C785" s="5">
        <v>100</v>
      </c>
      <c r="D785">
        <v>100</v>
      </c>
      <c r="H785" t="s">
        <v>238</v>
      </c>
      <c r="I785" t="s">
        <v>519</v>
      </c>
      <c r="J785" t="s">
        <v>2038</v>
      </c>
      <c r="K785" t="s">
        <v>2038</v>
      </c>
      <c r="L785" t="s">
        <v>10</v>
      </c>
    </row>
    <row r="786" spans="1:12" ht="16" x14ac:dyDescent="0.2">
      <c r="A786" t="s">
        <v>237</v>
      </c>
      <c r="B786">
        <v>168</v>
      </c>
      <c r="C786" s="5">
        <v>100</v>
      </c>
      <c r="D786">
        <v>100</v>
      </c>
      <c r="H786" t="s">
        <v>238</v>
      </c>
      <c r="I786" t="s">
        <v>239</v>
      </c>
      <c r="J786" t="s">
        <v>2038</v>
      </c>
      <c r="K786" t="s">
        <v>2038</v>
      </c>
      <c r="L786" t="s">
        <v>10</v>
      </c>
    </row>
    <row r="787" spans="1:12" ht="16" x14ac:dyDescent="0.2">
      <c r="A787" t="s">
        <v>520</v>
      </c>
      <c r="B787">
        <v>508</v>
      </c>
      <c r="C787" s="5">
        <v>100</v>
      </c>
      <c r="D787">
        <v>0.55200000000000704</v>
      </c>
      <c r="E787" t="s">
        <v>10</v>
      </c>
      <c r="F787" t="s">
        <v>10</v>
      </c>
      <c r="G787" t="s">
        <v>10</v>
      </c>
      <c r="H787" t="s">
        <v>521</v>
      </c>
      <c r="I787" t="s">
        <v>522</v>
      </c>
      <c r="J787" t="s">
        <v>2038</v>
      </c>
      <c r="K787" t="s">
        <v>2038</v>
      </c>
      <c r="L787" t="s">
        <v>10</v>
      </c>
    </row>
    <row r="788" spans="1:12" ht="16" x14ac:dyDescent="0.2">
      <c r="A788" t="s">
        <v>1126</v>
      </c>
      <c r="B788">
        <v>1333</v>
      </c>
      <c r="C788" s="5">
        <v>100</v>
      </c>
      <c r="D788">
        <v>0.55200000000000704</v>
      </c>
      <c r="E788" t="s">
        <v>10</v>
      </c>
      <c r="F788" t="s">
        <v>946</v>
      </c>
      <c r="G788" t="s">
        <v>947</v>
      </c>
      <c r="H788" t="s">
        <v>948</v>
      </c>
      <c r="I788" t="s">
        <v>949</v>
      </c>
      <c r="J788" t="s">
        <v>2038</v>
      </c>
      <c r="K788" t="s">
        <v>2038</v>
      </c>
      <c r="L788" t="s">
        <v>10</v>
      </c>
    </row>
    <row r="789" spans="1:12" ht="16" x14ac:dyDescent="0.2">
      <c r="A789" t="s">
        <v>1280</v>
      </c>
      <c r="B789">
        <v>1541</v>
      </c>
      <c r="C789" s="5">
        <v>100</v>
      </c>
      <c r="D789">
        <v>100</v>
      </c>
      <c r="H789" t="s">
        <v>1281</v>
      </c>
      <c r="I789" t="s">
        <v>1282</v>
      </c>
      <c r="J789" t="s">
        <v>2038</v>
      </c>
      <c r="K789" t="s">
        <v>2038</v>
      </c>
      <c r="L789" t="s">
        <v>10</v>
      </c>
    </row>
    <row r="790" spans="1:12" ht="16" x14ac:dyDescent="0.2">
      <c r="A790" t="s">
        <v>797</v>
      </c>
      <c r="B790">
        <v>855</v>
      </c>
      <c r="C790" s="5">
        <v>100</v>
      </c>
      <c r="D790">
        <v>0.90900000000000603</v>
      </c>
      <c r="E790" t="s">
        <v>10</v>
      </c>
      <c r="F790" t="s">
        <v>10</v>
      </c>
      <c r="G790" t="s">
        <v>10</v>
      </c>
      <c r="H790" t="s">
        <v>798</v>
      </c>
      <c r="I790" t="s">
        <v>799</v>
      </c>
      <c r="J790" t="s">
        <v>2038</v>
      </c>
      <c r="K790" t="s">
        <v>2038</v>
      </c>
      <c r="L790" t="s">
        <v>10</v>
      </c>
    </row>
    <row r="791" spans="1:12" ht="16" x14ac:dyDescent="0.2">
      <c r="A791" t="s">
        <v>1895</v>
      </c>
      <c r="B791">
        <v>2327</v>
      </c>
      <c r="C791" s="5">
        <v>100</v>
      </c>
      <c r="D791">
        <v>2.7029999999999998</v>
      </c>
      <c r="E791" t="s">
        <v>1896</v>
      </c>
      <c r="F791" t="s">
        <v>1897</v>
      </c>
      <c r="G791" t="s">
        <v>1898</v>
      </c>
      <c r="H791" t="s">
        <v>1899</v>
      </c>
      <c r="I791" t="s">
        <v>1900</v>
      </c>
      <c r="J791" t="s">
        <v>2038</v>
      </c>
      <c r="K791" t="s">
        <v>2038</v>
      </c>
      <c r="L791" t="s">
        <v>10</v>
      </c>
    </row>
    <row r="792" spans="1:12" ht="16" x14ac:dyDescent="0.2">
      <c r="A792" t="s">
        <v>1831</v>
      </c>
      <c r="B792">
        <v>2260</v>
      </c>
      <c r="C792" s="5">
        <v>100</v>
      </c>
      <c r="D792">
        <v>3.125</v>
      </c>
      <c r="E792" t="s">
        <v>1832</v>
      </c>
      <c r="F792" t="s">
        <v>1833</v>
      </c>
      <c r="G792" t="s">
        <v>1834</v>
      </c>
      <c r="H792" t="s">
        <v>1835</v>
      </c>
      <c r="I792" t="s">
        <v>1836</v>
      </c>
      <c r="J792" t="s">
        <v>2038</v>
      </c>
      <c r="K792" t="s">
        <v>2038</v>
      </c>
      <c r="L792" t="s">
        <v>10</v>
      </c>
    </row>
    <row r="793" spans="1:12" ht="16" x14ac:dyDescent="0.2">
      <c r="A793" t="s">
        <v>1501</v>
      </c>
      <c r="B793">
        <v>1843</v>
      </c>
      <c r="C793" s="5">
        <v>100</v>
      </c>
      <c r="D793">
        <v>0.58499999999999397</v>
      </c>
      <c r="E793" t="s">
        <v>10</v>
      </c>
      <c r="F793" t="s">
        <v>11</v>
      </c>
      <c r="G793" t="s">
        <v>861</v>
      </c>
      <c r="H793" t="s">
        <v>862</v>
      </c>
      <c r="I793" t="s">
        <v>863</v>
      </c>
      <c r="J793" t="s">
        <v>2038</v>
      </c>
      <c r="K793" t="s">
        <v>2038</v>
      </c>
      <c r="L793" t="s">
        <v>10</v>
      </c>
    </row>
    <row r="794" spans="1:12" ht="16" x14ac:dyDescent="0.2">
      <c r="A794" t="s">
        <v>1677</v>
      </c>
      <c r="B794">
        <v>2067</v>
      </c>
      <c r="C794" s="5">
        <v>100</v>
      </c>
      <c r="D794">
        <v>0.58499999999999397</v>
      </c>
      <c r="E794" t="s">
        <v>10</v>
      </c>
      <c r="F794" t="s">
        <v>11</v>
      </c>
      <c r="G794" t="s">
        <v>861</v>
      </c>
      <c r="H794" t="s">
        <v>862</v>
      </c>
      <c r="I794" t="s">
        <v>863</v>
      </c>
      <c r="J794" t="s">
        <v>2038</v>
      </c>
      <c r="K794" t="s">
        <v>2038</v>
      </c>
      <c r="L794" t="s">
        <v>10</v>
      </c>
    </row>
    <row r="795" spans="1:12" ht="16" x14ac:dyDescent="0.2">
      <c r="A795" t="s">
        <v>860</v>
      </c>
      <c r="B795">
        <v>933</v>
      </c>
      <c r="C795" s="5">
        <v>100</v>
      </c>
      <c r="D795">
        <v>0</v>
      </c>
      <c r="E795" t="s">
        <v>10</v>
      </c>
      <c r="F795" t="s">
        <v>11</v>
      </c>
      <c r="G795" t="s">
        <v>861</v>
      </c>
      <c r="H795" t="s">
        <v>862</v>
      </c>
      <c r="I795" t="s">
        <v>863</v>
      </c>
      <c r="J795" t="s">
        <v>2038</v>
      </c>
      <c r="K795" t="s">
        <v>2038</v>
      </c>
      <c r="L795" t="s">
        <v>10</v>
      </c>
    </row>
    <row r="796" spans="1:12" ht="16" x14ac:dyDescent="0.2">
      <c r="A796" t="s">
        <v>161</v>
      </c>
      <c r="B796">
        <v>99</v>
      </c>
      <c r="C796" s="5">
        <v>100</v>
      </c>
      <c r="D796">
        <v>0</v>
      </c>
      <c r="E796" t="s">
        <v>10</v>
      </c>
      <c r="F796" t="s">
        <v>10</v>
      </c>
      <c r="G796" t="s">
        <v>162</v>
      </c>
      <c r="H796" t="str">
        <f>LEFT(I796, FIND(" sp.", I796) - 1)</f>
        <v>Lepidopsocidae</v>
      </c>
      <c r="I796" t="s">
        <v>163</v>
      </c>
      <c r="J796" t="s">
        <v>2038</v>
      </c>
      <c r="K796" t="s">
        <v>2038</v>
      </c>
      <c r="L796" t="s">
        <v>10</v>
      </c>
    </row>
    <row r="797" spans="1:12" ht="16" x14ac:dyDescent="0.2">
      <c r="A797" t="s">
        <v>905</v>
      </c>
      <c r="B797">
        <v>1012</v>
      </c>
      <c r="C797" s="5">
        <v>100</v>
      </c>
      <c r="D797">
        <v>0.55200000000000704</v>
      </c>
      <c r="E797" t="s">
        <v>10</v>
      </c>
      <c r="F797" t="s">
        <v>10</v>
      </c>
      <c r="H797" t="str">
        <f>LEFT(I797, FIND(" sp.", I797) - 1)</f>
        <v>Lepidopsocidae</v>
      </c>
      <c r="I797" t="s">
        <v>906</v>
      </c>
      <c r="J797" t="s">
        <v>2038</v>
      </c>
      <c r="K797" t="s">
        <v>2038</v>
      </c>
      <c r="L797" t="s">
        <v>10</v>
      </c>
    </row>
    <row r="798" spans="1:12" ht="16" x14ac:dyDescent="0.2">
      <c r="A798" t="s">
        <v>1178</v>
      </c>
      <c r="B798">
        <v>1412</v>
      </c>
      <c r="C798" s="5">
        <v>100</v>
      </c>
      <c r="D798">
        <v>0</v>
      </c>
      <c r="E798" t="s">
        <v>10</v>
      </c>
      <c r="F798" t="s">
        <v>10</v>
      </c>
      <c r="H798" t="str">
        <f>LEFT(I798, FIND(" sp.", I798) - 1)</f>
        <v>Lepidopsocidae</v>
      </c>
      <c r="I798" t="s">
        <v>906</v>
      </c>
      <c r="J798" t="s">
        <v>2038</v>
      </c>
      <c r="K798" t="s">
        <v>2038</v>
      </c>
      <c r="L798" t="s">
        <v>10</v>
      </c>
    </row>
    <row r="799" spans="1:12" ht="16" x14ac:dyDescent="0.2">
      <c r="A799" t="s">
        <v>1693</v>
      </c>
      <c r="B799">
        <v>2097</v>
      </c>
      <c r="C799" s="5">
        <v>100</v>
      </c>
      <c r="D799">
        <v>0</v>
      </c>
      <c r="E799" t="s">
        <v>10</v>
      </c>
      <c r="F799" t="s">
        <v>10</v>
      </c>
      <c r="H799" t="str">
        <f>LEFT(I799, FIND(" sp.", I799) - 1)</f>
        <v>Lepidopsocidae</v>
      </c>
      <c r="I799" t="s">
        <v>1694</v>
      </c>
      <c r="J799" t="s">
        <v>2038</v>
      </c>
      <c r="K799" t="s">
        <v>2038</v>
      </c>
      <c r="L799" t="s">
        <v>10</v>
      </c>
    </row>
    <row r="800" spans="1:12" ht="16" x14ac:dyDescent="0.2">
      <c r="A800" t="s">
        <v>172</v>
      </c>
      <c r="B800">
        <v>122</v>
      </c>
      <c r="C800" s="5">
        <v>100</v>
      </c>
      <c r="D800">
        <v>0</v>
      </c>
      <c r="E800" t="s">
        <v>10</v>
      </c>
      <c r="F800" t="s">
        <v>10</v>
      </c>
      <c r="G800" t="s">
        <v>173</v>
      </c>
      <c r="H800" t="str">
        <f>LEFT(I800, FIND(" sp.", I800) - 1)</f>
        <v>Lepidopsocidae</v>
      </c>
      <c r="I800" t="s">
        <v>174</v>
      </c>
      <c r="J800" t="s">
        <v>2038</v>
      </c>
      <c r="K800" t="s">
        <v>2038</v>
      </c>
      <c r="L800" t="s">
        <v>10</v>
      </c>
    </row>
    <row r="801" spans="1:12" ht="16" x14ac:dyDescent="0.2">
      <c r="A801" t="s">
        <v>1376</v>
      </c>
      <c r="B801">
        <v>1633</v>
      </c>
      <c r="C801" s="5">
        <v>100</v>
      </c>
      <c r="D801">
        <v>0.55200000000000704</v>
      </c>
      <c r="E801" t="s">
        <v>10</v>
      </c>
      <c r="F801" t="s">
        <v>10</v>
      </c>
      <c r="G801" t="s">
        <v>1377</v>
      </c>
      <c r="H801" t="s">
        <v>1378</v>
      </c>
      <c r="I801" t="s">
        <v>1379</v>
      </c>
      <c r="J801" t="s">
        <v>2038</v>
      </c>
      <c r="K801" t="s">
        <v>2038</v>
      </c>
      <c r="L801" t="s">
        <v>10</v>
      </c>
    </row>
    <row r="802" spans="1:12" ht="16" x14ac:dyDescent="0.2">
      <c r="A802" t="s">
        <v>1429</v>
      </c>
      <c r="B802">
        <v>1730</v>
      </c>
      <c r="C802" s="5">
        <v>100</v>
      </c>
      <c r="D802">
        <v>0</v>
      </c>
      <c r="E802" t="s">
        <v>1098</v>
      </c>
      <c r="F802" t="s">
        <v>1099</v>
      </c>
      <c r="G802" t="s">
        <v>1100</v>
      </c>
      <c r="H802" t="s">
        <v>552</v>
      </c>
      <c r="I802" t="s">
        <v>553</v>
      </c>
      <c r="J802" t="s">
        <v>2038</v>
      </c>
      <c r="K802" t="s">
        <v>2038</v>
      </c>
      <c r="L802" t="s">
        <v>10</v>
      </c>
    </row>
    <row r="803" spans="1:12" ht="16" x14ac:dyDescent="0.2">
      <c r="A803" t="s">
        <v>1635</v>
      </c>
      <c r="B803">
        <v>1999</v>
      </c>
      <c r="C803" s="5">
        <v>100</v>
      </c>
      <c r="D803">
        <v>0.64499999999999602</v>
      </c>
      <c r="E803" t="s">
        <v>1098</v>
      </c>
      <c r="F803" t="s">
        <v>1099</v>
      </c>
      <c r="G803" t="s">
        <v>1100</v>
      </c>
      <c r="H803" t="s">
        <v>552</v>
      </c>
      <c r="I803" t="s">
        <v>553</v>
      </c>
      <c r="J803" t="s">
        <v>2038</v>
      </c>
      <c r="K803" t="s">
        <v>2038</v>
      </c>
      <c r="L803" t="s">
        <v>10</v>
      </c>
    </row>
    <row r="804" spans="1:12" ht="16" x14ac:dyDescent="0.2">
      <c r="A804" t="s">
        <v>1840</v>
      </c>
      <c r="B804">
        <v>2263</v>
      </c>
      <c r="C804" s="5">
        <v>100</v>
      </c>
      <c r="D804">
        <v>1.105</v>
      </c>
      <c r="E804" t="s">
        <v>10</v>
      </c>
      <c r="F804" t="s">
        <v>11</v>
      </c>
      <c r="G804" t="s">
        <v>1841</v>
      </c>
      <c r="H804" t="s">
        <v>1842</v>
      </c>
      <c r="I804" t="s">
        <v>1843</v>
      </c>
      <c r="J804" t="s">
        <v>2038</v>
      </c>
      <c r="K804" t="s">
        <v>2038</v>
      </c>
      <c r="L804" t="s">
        <v>10</v>
      </c>
    </row>
    <row r="805" spans="1:12" ht="16" x14ac:dyDescent="0.2">
      <c r="A805" t="s">
        <v>554</v>
      </c>
      <c r="B805">
        <v>544</v>
      </c>
      <c r="C805" s="5">
        <v>100</v>
      </c>
      <c r="D805">
        <v>100</v>
      </c>
      <c r="H805" t="s">
        <v>555</v>
      </c>
      <c r="I805" t="s">
        <v>556</v>
      </c>
      <c r="J805" t="s">
        <v>2038</v>
      </c>
      <c r="K805" t="s">
        <v>2038</v>
      </c>
      <c r="L805" t="s">
        <v>10</v>
      </c>
    </row>
    <row r="806" spans="1:12" ht="16" x14ac:dyDescent="0.2">
      <c r="A806" t="s">
        <v>764</v>
      </c>
      <c r="B806">
        <v>800</v>
      </c>
      <c r="C806" s="5">
        <v>100</v>
      </c>
      <c r="D806">
        <v>100</v>
      </c>
      <c r="H806" t="s">
        <v>294</v>
      </c>
      <c r="I806" t="s">
        <v>295</v>
      </c>
      <c r="J806" t="s">
        <v>2038</v>
      </c>
      <c r="K806" t="s">
        <v>2038</v>
      </c>
      <c r="L806" t="s">
        <v>10</v>
      </c>
    </row>
    <row r="807" spans="1:12" ht="16" x14ac:dyDescent="0.2">
      <c r="A807" t="s">
        <v>1182</v>
      </c>
      <c r="B807">
        <v>1416</v>
      </c>
      <c r="C807" s="5">
        <v>100</v>
      </c>
      <c r="D807">
        <v>0.54600000000000604</v>
      </c>
      <c r="E807" t="s">
        <v>10</v>
      </c>
      <c r="F807" t="s">
        <v>10</v>
      </c>
      <c r="G807" t="s">
        <v>10</v>
      </c>
      <c r="H807" t="s">
        <v>1183</v>
      </c>
      <c r="I807" t="s">
        <v>1184</v>
      </c>
      <c r="J807" t="s">
        <v>2038</v>
      </c>
      <c r="K807" t="s">
        <v>2038</v>
      </c>
      <c r="L807" t="s">
        <v>10</v>
      </c>
    </row>
    <row r="808" spans="1:12" ht="16" x14ac:dyDescent="0.2">
      <c r="A808" t="s">
        <v>1721</v>
      </c>
      <c r="B808">
        <v>2131</v>
      </c>
      <c r="C808" s="5">
        <v>100</v>
      </c>
      <c r="D808">
        <v>0.55200000000000704</v>
      </c>
      <c r="E808" t="s">
        <v>10</v>
      </c>
      <c r="F808" t="s">
        <v>10</v>
      </c>
      <c r="G808" t="s">
        <v>10</v>
      </c>
      <c r="H808" t="s">
        <v>1722</v>
      </c>
      <c r="I808" t="s">
        <v>1723</v>
      </c>
      <c r="J808" t="s">
        <v>2038</v>
      </c>
      <c r="K808" t="s">
        <v>2038</v>
      </c>
      <c r="L808" t="s">
        <v>10</v>
      </c>
    </row>
    <row r="809" spans="1:12" ht="16" x14ac:dyDescent="0.2">
      <c r="A809" t="s">
        <v>1943</v>
      </c>
      <c r="B809">
        <v>2403</v>
      </c>
      <c r="C809" s="5">
        <v>100</v>
      </c>
      <c r="D809">
        <v>100</v>
      </c>
      <c r="H809" t="s">
        <v>1944</v>
      </c>
      <c r="I809" t="s">
        <v>1945</v>
      </c>
      <c r="J809" t="s">
        <v>2038</v>
      </c>
      <c r="K809" t="s">
        <v>2038</v>
      </c>
      <c r="L809" t="s">
        <v>10</v>
      </c>
    </row>
    <row r="810" spans="1:12" ht="16" x14ac:dyDescent="0.2">
      <c r="A810" t="s">
        <v>1551</v>
      </c>
      <c r="B810">
        <v>1897</v>
      </c>
      <c r="C810" s="5">
        <v>100</v>
      </c>
      <c r="D810">
        <v>0.57099999999999795</v>
      </c>
      <c r="E810" t="s">
        <v>10</v>
      </c>
      <c r="F810" t="s">
        <v>10</v>
      </c>
      <c r="G810" t="s">
        <v>10</v>
      </c>
      <c r="H810" t="s">
        <v>1552</v>
      </c>
      <c r="I810" t="s">
        <v>1553</v>
      </c>
      <c r="J810" t="s">
        <v>2038</v>
      </c>
      <c r="K810" t="s">
        <v>2038</v>
      </c>
      <c r="L810" t="s">
        <v>10</v>
      </c>
    </row>
    <row r="811" spans="1:12" ht="16" x14ac:dyDescent="0.2">
      <c r="A811" t="s">
        <v>1657</v>
      </c>
      <c r="B811">
        <v>2038</v>
      </c>
      <c r="C811" s="5">
        <v>100</v>
      </c>
      <c r="D811">
        <v>0.57099999999999795</v>
      </c>
      <c r="E811" t="s">
        <v>10</v>
      </c>
      <c r="F811" t="s">
        <v>10</v>
      </c>
      <c r="G811" t="s">
        <v>10</v>
      </c>
      <c r="H811" t="s">
        <v>1552</v>
      </c>
      <c r="I811" t="s">
        <v>1553</v>
      </c>
      <c r="J811" t="s">
        <v>2038</v>
      </c>
      <c r="K811" t="s">
        <v>2038</v>
      </c>
      <c r="L811" t="s">
        <v>10</v>
      </c>
    </row>
    <row r="812" spans="1:12" ht="16" x14ac:dyDescent="0.2">
      <c r="A812" t="s">
        <v>775</v>
      </c>
      <c r="B812">
        <v>818</v>
      </c>
      <c r="C812" s="5">
        <v>100</v>
      </c>
      <c r="D812">
        <v>100</v>
      </c>
      <c r="H812" t="s">
        <v>680</v>
      </c>
      <c r="I812" t="s">
        <v>681</v>
      </c>
      <c r="J812" t="s">
        <v>2038</v>
      </c>
      <c r="K812" t="s">
        <v>2038</v>
      </c>
      <c r="L812" t="s">
        <v>10</v>
      </c>
    </row>
    <row r="813" spans="1:12" ht="16" x14ac:dyDescent="0.2">
      <c r="A813" t="s">
        <v>822</v>
      </c>
      <c r="B813">
        <v>880</v>
      </c>
      <c r="C813" s="5">
        <v>100</v>
      </c>
      <c r="D813">
        <v>0.55200000000000704</v>
      </c>
      <c r="E813" t="s">
        <v>10</v>
      </c>
      <c r="F813" t="s">
        <v>10</v>
      </c>
      <c r="G813" t="s">
        <v>823</v>
      </c>
      <c r="H813" t="s">
        <v>590</v>
      </c>
      <c r="I813" t="s">
        <v>591</v>
      </c>
      <c r="J813" t="s">
        <v>2038</v>
      </c>
      <c r="K813" t="s">
        <v>2038</v>
      </c>
      <c r="L813" t="s">
        <v>10</v>
      </c>
    </row>
    <row r="814" spans="1:12" ht="16" x14ac:dyDescent="0.2">
      <c r="A814" t="s">
        <v>392</v>
      </c>
      <c r="B814">
        <v>310</v>
      </c>
      <c r="C814" s="5">
        <v>100</v>
      </c>
      <c r="D814">
        <v>100</v>
      </c>
      <c r="H814" t="s">
        <v>170</v>
      </c>
      <c r="I814" t="s">
        <v>171</v>
      </c>
      <c r="J814" t="s">
        <v>2038</v>
      </c>
      <c r="K814" t="s">
        <v>2038</v>
      </c>
      <c r="L814" t="s">
        <v>10</v>
      </c>
    </row>
    <row r="815" spans="1:12" ht="16" x14ac:dyDescent="0.2">
      <c r="A815" t="s">
        <v>1136</v>
      </c>
      <c r="B815">
        <v>1344</v>
      </c>
      <c r="C815" s="5">
        <v>100</v>
      </c>
      <c r="D815">
        <v>100</v>
      </c>
      <c r="H815" t="str">
        <f>LEFT(I815, FIND(" sp.", I815) - 1)</f>
        <v>Sciaridae</v>
      </c>
      <c r="I815" t="s">
        <v>861</v>
      </c>
      <c r="J815" t="s">
        <v>2038</v>
      </c>
      <c r="K815" t="s">
        <v>2038</v>
      </c>
      <c r="L815" t="s">
        <v>10</v>
      </c>
    </row>
    <row r="816" spans="1:12" ht="16" x14ac:dyDescent="0.2">
      <c r="A816" t="s">
        <v>994</v>
      </c>
      <c r="B816">
        <v>1147</v>
      </c>
      <c r="C816" s="5">
        <v>100</v>
      </c>
      <c r="D816">
        <v>1.3069999999999999</v>
      </c>
      <c r="E816" t="s">
        <v>10</v>
      </c>
      <c r="F816" t="s">
        <v>10</v>
      </c>
      <c r="G816" t="s">
        <v>10</v>
      </c>
      <c r="H816" t="s">
        <v>871</v>
      </c>
      <c r="I816" t="s">
        <v>995</v>
      </c>
      <c r="J816" t="s">
        <v>2038</v>
      </c>
      <c r="K816" t="s">
        <v>2038</v>
      </c>
      <c r="L816" t="s">
        <v>10</v>
      </c>
    </row>
    <row r="817" spans="1:12" ht="16" x14ac:dyDescent="0.2">
      <c r="A817" t="s">
        <v>1166</v>
      </c>
      <c r="B817">
        <v>1400</v>
      </c>
      <c r="C817" s="5">
        <v>100</v>
      </c>
      <c r="D817">
        <v>0.55599999999999705</v>
      </c>
      <c r="E817" t="s">
        <v>10</v>
      </c>
      <c r="F817" t="s">
        <v>10</v>
      </c>
      <c r="G817" t="s">
        <v>10</v>
      </c>
      <c r="H817" t="s">
        <v>1167</v>
      </c>
      <c r="I817" t="s">
        <v>1168</v>
      </c>
      <c r="J817" t="s">
        <v>2038</v>
      </c>
      <c r="K817" t="s">
        <v>2038</v>
      </c>
      <c r="L817" t="s">
        <v>10</v>
      </c>
    </row>
    <row r="818" spans="1:12" ht="16" x14ac:dyDescent="0.2">
      <c r="A818" t="s">
        <v>1037</v>
      </c>
      <c r="B818">
        <v>1222</v>
      </c>
      <c r="C818" s="5">
        <v>100</v>
      </c>
      <c r="D818">
        <v>7.0179999999999998</v>
      </c>
      <c r="E818" t="s">
        <v>1038</v>
      </c>
      <c r="F818" t="s">
        <v>1039</v>
      </c>
      <c r="G818" t="s">
        <v>1040</v>
      </c>
      <c r="H818" t="s">
        <v>1041</v>
      </c>
      <c r="I818" t="s">
        <v>1042</v>
      </c>
      <c r="J818" t="s">
        <v>2038</v>
      </c>
      <c r="K818" t="s">
        <v>2038</v>
      </c>
      <c r="L818" t="s">
        <v>10</v>
      </c>
    </row>
    <row r="819" spans="1:12" ht="16" x14ac:dyDescent="0.2">
      <c r="A819" t="s">
        <v>1385</v>
      </c>
      <c r="B819">
        <v>1643</v>
      </c>
      <c r="C819" s="5">
        <v>100</v>
      </c>
      <c r="D819">
        <v>6.077</v>
      </c>
      <c r="E819" t="s">
        <v>1080</v>
      </c>
      <c r="F819" t="s">
        <v>1081</v>
      </c>
      <c r="G819" t="s">
        <v>1082</v>
      </c>
      <c r="H819" t="s">
        <v>244</v>
      </c>
      <c r="I819" t="s">
        <v>245</v>
      </c>
      <c r="J819" t="s">
        <v>2038</v>
      </c>
      <c r="K819" t="s">
        <v>2038</v>
      </c>
      <c r="L819" t="s">
        <v>10</v>
      </c>
    </row>
    <row r="820" spans="1:12" ht="16" x14ac:dyDescent="0.2">
      <c r="A820" t="s">
        <v>960</v>
      </c>
      <c r="B820">
        <v>1074</v>
      </c>
      <c r="C820" s="5">
        <v>100</v>
      </c>
      <c r="D820">
        <v>100</v>
      </c>
      <c r="H820" t="s">
        <v>291</v>
      </c>
      <c r="I820" t="s">
        <v>292</v>
      </c>
      <c r="J820" t="s">
        <v>2038</v>
      </c>
      <c r="K820" t="s">
        <v>2038</v>
      </c>
      <c r="L820" t="s">
        <v>10</v>
      </c>
    </row>
    <row r="821" spans="1:12" ht="16" x14ac:dyDescent="0.2">
      <c r="A821" t="s">
        <v>290</v>
      </c>
      <c r="B821">
        <v>203</v>
      </c>
      <c r="C821" s="5">
        <v>100</v>
      </c>
      <c r="D821">
        <v>0.55200000000000704</v>
      </c>
      <c r="E821" t="s">
        <v>10</v>
      </c>
      <c r="F821" t="s">
        <v>10</v>
      </c>
      <c r="G821" t="s">
        <v>10</v>
      </c>
      <c r="H821" t="s">
        <v>291</v>
      </c>
      <c r="I821" t="s">
        <v>292</v>
      </c>
      <c r="J821" t="s">
        <v>2038</v>
      </c>
      <c r="K821" t="s">
        <v>2038</v>
      </c>
      <c r="L821" t="s">
        <v>10</v>
      </c>
    </row>
    <row r="822" spans="1:12" ht="16" x14ac:dyDescent="0.2">
      <c r="A822" t="s">
        <v>926</v>
      </c>
      <c r="B822">
        <v>1031</v>
      </c>
      <c r="C822" s="5">
        <v>100</v>
      </c>
      <c r="D822">
        <v>5.0849999999999902</v>
      </c>
      <c r="E822" t="s">
        <v>10</v>
      </c>
      <c r="F822" t="s">
        <v>10</v>
      </c>
      <c r="G822" t="s">
        <v>10</v>
      </c>
      <c r="H822" t="s">
        <v>149</v>
      </c>
      <c r="I822" t="s">
        <v>150</v>
      </c>
      <c r="J822" t="s">
        <v>2038</v>
      </c>
      <c r="K822" t="s">
        <v>2038</v>
      </c>
      <c r="L822" t="s">
        <v>10</v>
      </c>
    </row>
    <row r="823" spans="1:12" ht="16" x14ac:dyDescent="0.2">
      <c r="A823" t="s">
        <v>178</v>
      </c>
      <c r="B823">
        <v>124</v>
      </c>
      <c r="C823" s="5">
        <v>100</v>
      </c>
      <c r="D823">
        <v>8.3800000000000008</v>
      </c>
      <c r="E823" t="s">
        <v>10</v>
      </c>
      <c r="F823" t="s">
        <v>10</v>
      </c>
      <c r="G823" t="s">
        <v>179</v>
      </c>
      <c r="H823" t="s">
        <v>149</v>
      </c>
      <c r="I823" t="s">
        <v>180</v>
      </c>
      <c r="J823" t="s">
        <v>2038</v>
      </c>
      <c r="K823" t="s">
        <v>2038</v>
      </c>
      <c r="L823" t="s">
        <v>10</v>
      </c>
    </row>
    <row r="824" spans="1:12" ht="16" x14ac:dyDescent="0.2">
      <c r="A824" t="s">
        <v>1678</v>
      </c>
      <c r="B824">
        <v>2071</v>
      </c>
      <c r="C824" s="5">
        <v>100</v>
      </c>
      <c r="D824">
        <v>0</v>
      </c>
      <c r="E824" t="s">
        <v>1519</v>
      </c>
      <c r="F824" t="s">
        <v>1637</v>
      </c>
      <c r="G824" t="s">
        <v>1679</v>
      </c>
      <c r="H824" t="s">
        <v>1680</v>
      </c>
      <c r="I824" t="s">
        <v>1681</v>
      </c>
      <c r="J824" t="s">
        <v>2038</v>
      </c>
      <c r="K824" t="s">
        <v>2038</v>
      </c>
      <c r="L824" t="s">
        <v>10</v>
      </c>
    </row>
    <row r="825" spans="1:12" ht="16" x14ac:dyDescent="0.2">
      <c r="A825" t="s">
        <v>1953</v>
      </c>
      <c r="B825">
        <v>2424</v>
      </c>
      <c r="C825" s="5">
        <v>100</v>
      </c>
      <c r="D825">
        <v>0</v>
      </c>
      <c r="E825" t="s">
        <v>1519</v>
      </c>
      <c r="F825" t="s">
        <v>1637</v>
      </c>
      <c r="G825" t="s">
        <v>1679</v>
      </c>
      <c r="H825" t="s">
        <v>1680</v>
      </c>
      <c r="I825" t="s">
        <v>1681</v>
      </c>
      <c r="J825" t="s">
        <v>2038</v>
      </c>
      <c r="K825" t="s">
        <v>2038</v>
      </c>
      <c r="L825" t="s">
        <v>10</v>
      </c>
    </row>
    <row r="826" spans="1:12" ht="16" x14ac:dyDescent="0.2">
      <c r="A826" t="s">
        <v>19</v>
      </c>
      <c r="B826">
        <v>12</v>
      </c>
      <c r="C826" s="5">
        <v>100</v>
      </c>
      <c r="D826">
        <v>0.54600000000000604</v>
      </c>
      <c r="E826" t="s">
        <v>10</v>
      </c>
      <c r="F826" t="s">
        <v>10</v>
      </c>
      <c r="G826" t="s">
        <v>10</v>
      </c>
      <c r="H826" t="s">
        <v>20</v>
      </c>
      <c r="I826" t="s">
        <v>21</v>
      </c>
      <c r="J826" t="s">
        <v>2038</v>
      </c>
      <c r="K826" t="s">
        <v>2038</v>
      </c>
      <c r="L826" t="s">
        <v>10</v>
      </c>
    </row>
    <row r="827" spans="1:12" ht="16" x14ac:dyDescent="0.2">
      <c r="A827" t="s">
        <v>16</v>
      </c>
      <c r="B827">
        <v>9</v>
      </c>
      <c r="C827" s="5">
        <v>100</v>
      </c>
      <c r="D827">
        <v>0</v>
      </c>
      <c r="E827" t="s">
        <v>10</v>
      </c>
      <c r="F827" t="s">
        <v>10</v>
      </c>
      <c r="G827" t="s">
        <v>17</v>
      </c>
      <c r="H827" t="s">
        <v>12</v>
      </c>
      <c r="I827" t="s">
        <v>18</v>
      </c>
      <c r="J827" t="s">
        <v>2038</v>
      </c>
      <c r="K827" t="s">
        <v>2038</v>
      </c>
      <c r="L827" t="s">
        <v>10</v>
      </c>
    </row>
    <row r="828" spans="1:12" ht="16" x14ac:dyDescent="0.2">
      <c r="A828" t="s">
        <v>203</v>
      </c>
      <c r="B828">
        <v>144</v>
      </c>
      <c r="C828" s="5">
        <v>100</v>
      </c>
      <c r="D828">
        <v>1.79600000000001</v>
      </c>
      <c r="E828" t="s">
        <v>10</v>
      </c>
      <c r="F828" t="s">
        <v>10</v>
      </c>
      <c r="G828" t="s">
        <v>10</v>
      </c>
      <c r="H828" t="s">
        <v>204</v>
      </c>
      <c r="I828" t="s">
        <v>205</v>
      </c>
      <c r="J828" t="s">
        <v>2038</v>
      </c>
      <c r="K828" t="s">
        <v>2038</v>
      </c>
      <c r="L828" t="s">
        <v>10</v>
      </c>
    </row>
    <row r="829" spans="1:12" ht="16" x14ac:dyDescent="0.2">
      <c r="A829" t="s">
        <v>444</v>
      </c>
      <c r="B829">
        <v>384</v>
      </c>
      <c r="C829" s="5">
        <v>100</v>
      </c>
      <c r="D829">
        <v>100</v>
      </c>
      <c r="H829" t="s">
        <v>445</v>
      </c>
      <c r="I829" t="s">
        <v>446</v>
      </c>
      <c r="J829" t="s">
        <v>2038</v>
      </c>
      <c r="K829" t="s">
        <v>2038</v>
      </c>
      <c r="L829" t="s">
        <v>10</v>
      </c>
    </row>
    <row r="830" spans="1:12" ht="16" x14ac:dyDescent="0.2">
      <c r="A830" t="s">
        <v>110</v>
      </c>
      <c r="B830">
        <v>60</v>
      </c>
      <c r="C830" s="5">
        <v>100</v>
      </c>
      <c r="D830">
        <v>100</v>
      </c>
      <c r="J830" s="2" t="s">
        <v>2714</v>
      </c>
      <c r="K830" t="s">
        <v>2038</v>
      </c>
      <c r="L830" t="s">
        <v>10</v>
      </c>
    </row>
    <row r="831" spans="1:12" ht="16" x14ac:dyDescent="0.2">
      <c r="A831" t="s">
        <v>117</v>
      </c>
      <c r="B831">
        <v>67</v>
      </c>
      <c r="C831" s="5">
        <v>100</v>
      </c>
      <c r="D831">
        <v>6.63</v>
      </c>
      <c r="E831" t="s">
        <v>118</v>
      </c>
      <c r="F831" t="s">
        <v>10</v>
      </c>
      <c r="J831" s="2" t="s">
        <v>2714</v>
      </c>
      <c r="K831" t="s">
        <v>2038</v>
      </c>
      <c r="L831" t="s">
        <v>10</v>
      </c>
    </row>
    <row r="832" spans="1:12" ht="16" x14ac:dyDescent="0.2">
      <c r="A832" t="s">
        <v>1033</v>
      </c>
      <c r="B832">
        <v>1216</v>
      </c>
      <c r="C832" s="5">
        <v>100</v>
      </c>
      <c r="D832">
        <v>100</v>
      </c>
      <c r="H832" t="s">
        <v>1034</v>
      </c>
      <c r="I832" t="s">
        <v>1035</v>
      </c>
      <c r="J832" t="s">
        <v>2038</v>
      </c>
      <c r="K832" t="s">
        <v>2038</v>
      </c>
      <c r="L832" t="s">
        <v>10</v>
      </c>
    </row>
    <row r="833" spans="1:12" ht="16" x14ac:dyDescent="0.2">
      <c r="A833" t="s">
        <v>1189</v>
      </c>
      <c r="B833">
        <v>1424</v>
      </c>
      <c r="C833" s="5">
        <v>100</v>
      </c>
      <c r="D833">
        <v>1.667</v>
      </c>
      <c r="E833" t="s">
        <v>10</v>
      </c>
      <c r="F833" t="s">
        <v>10</v>
      </c>
      <c r="G833" t="s">
        <v>10</v>
      </c>
      <c r="H833" t="s">
        <v>418</v>
      </c>
      <c r="I833" t="s">
        <v>419</v>
      </c>
      <c r="J833" t="s">
        <v>2038</v>
      </c>
      <c r="K833" t="s">
        <v>2038</v>
      </c>
      <c r="L833" t="s">
        <v>10</v>
      </c>
    </row>
    <row r="834" spans="1:12" ht="16" x14ac:dyDescent="0.2">
      <c r="A834" t="s">
        <v>481</v>
      </c>
      <c r="B834">
        <v>427</v>
      </c>
      <c r="C834" s="5">
        <v>100</v>
      </c>
      <c r="D834">
        <v>1.657</v>
      </c>
      <c r="E834" t="s">
        <v>10</v>
      </c>
      <c r="F834" t="s">
        <v>10</v>
      </c>
      <c r="G834" t="s">
        <v>10</v>
      </c>
      <c r="H834" t="s">
        <v>418</v>
      </c>
      <c r="I834" t="s">
        <v>419</v>
      </c>
      <c r="J834" t="s">
        <v>2038</v>
      </c>
      <c r="K834" t="s">
        <v>2038</v>
      </c>
      <c r="L834" t="s">
        <v>10</v>
      </c>
    </row>
    <row r="835" spans="1:12" ht="16" x14ac:dyDescent="0.2">
      <c r="A835" t="s">
        <v>1947</v>
      </c>
      <c r="B835">
        <v>2412</v>
      </c>
      <c r="C835" s="5">
        <v>100</v>
      </c>
      <c r="D835">
        <v>0.55200000000000704</v>
      </c>
      <c r="E835" t="s">
        <v>10</v>
      </c>
      <c r="F835" t="s">
        <v>10</v>
      </c>
      <c r="G835" t="s">
        <v>10</v>
      </c>
      <c r="H835" t="s">
        <v>1948</v>
      </c>
      <c r="I835" t="s">
        <v>1949</v>
      </c>
      <c r="J835" t="s">
        <v>2038</v>
      </c>
      <c r="K835" t="s">
        <v>2038</v>
      </c>
      <c r="L835" t="s">
        <v>10</v>
      </c>
    </row>
    <row r="836" spans="1:12" ht="16" x14ac:dyDescent="0.2">
      <c r="A836" t="s">
        <v>1001</v>
      </c>
      <c r="B836">
        <v>1152</v>
      </c>
      <c r="C836" s="5">
        <v>100</v>
      </c>
      <c r="D836">
        <v>100</v>
      </c>
      <c r="H836" t="s">
        <v>1002</v>
      </c>
      <c r="I836" t="s">
        <v>1003</v>
      </c>
      <c r="J836" t="s">
        <v>2038</v>
      </c>
      <c r="K836" t="s">
        <v>2038</v>
      </c>
      <c r="L836" t="s">
        <v>10</v>
      </c>
    </row>
    <row r="837" spans="1:12" ht="16" x14ac:dyDescent="0.2">
      <c r="A837" t="s">
        <v>1472</v>
      </c>
      <c r="B837">
        <v>1812</v>
      </c>
      <c r="C837" s="5">
        <v>100</v>
      </c>
      <c r="D837">
        <v>0.55200000000000704</v>
      </c>
      <c r="E837" t="s">
        <v>10</v>
      </c>
      <c r="F837" t="s">
        <v>10</v>
      </c>
      <c r="G837" t="s">
        <v>10</v>
      </c>
      <c r="H837" t="s">
        <v>1473</v>
      </c>
      <c r="I837" t="s">
        <v>1474</v>
      </c>
      <c r="J837" t="s">
        <v>2038</v>
      </c>
      <c r="K837" t="s">
        <v>2038</v>
      </c>
      <c r="L837" t="s">
        <v>10</v>
      </c>
    </row>
    <row r="838" spans="1:12" ht="16" x14ac:dyDescent="0.2">
      <c r="A838" t="s">
        <v>1977</v>
      </c>
      <c r="B838">
        <v>2502</v>
      </c>
      <c r="C838" s="5">
        <v>100</v>
      </c>
      <c r="D838">
        <v>100</v>
      </c>
      <c r="H838" t="str">
        <f>LEFT(I838, FIND(" sp.", I838) - 1)</f>
        <v>Mesostigmata</v>
      </c>
      <c r="I838" t="s">
        <v>1978</v>
      </c>
      <c r="J838" t="s">
        <v>2038</v>
      </c>
      <c r="K838" t="s">
        <v>2038</v>
      </c>
      <c r="L838" t="s">
        <v>10</v>
      </c>
    </row>
    <row r="839" spans="1:12" ht="16" x14ac:dyDescent="0.2">
      <c r="A839" t="s">
        <v>1788</v>
      </c>
      <c r="B839">
        <v>2203</v>
      </c>
      <c r="C839" s="5">
        <v>100</v>
      </c>
      <c r="D839">
        <v>0</v>
      </c>
      <c r="E839" t="s">
        <v>10</v>
      </c>
      <c r="F839" t="s">
        <v>20</v>
      </c>
      <c r="G839" t="s">
        <v>1789</v>
      </c>
      <c r="H839" t="s">
        <v>1790</v>
      </c>
      <c r="I839" t="s">
        <v>1791</v>
      </c>
      <c r="J839" t="s">
        <v>2038</v>
      </c>
      <c r="K839" t="s">
        <v>2038</v>
      </c>
      <c r="L839" t="s">
        <v>10</v>
      </c>
    </row>
    <row r="840" spans="1:12" ht="16" x14ac:dyDescent="0.2">
      <c r="A840" t="s">
        <v>1397</v>
      </c>
      <c r="B840">
        <v>1662</v>
      </c>
      <c r="C840" s="5">
        <v>100</v>
      </c>
      <c r="D840">
        <v>5.1139999999999999</v>
      </c>
      <c r="E840" t="s">
        <v>241</v>
      </c>
      <c r="F840" t="s">
        <v>1226</v>
      </c>
      <c r="G840" t="s">
        <v>1227</v>
      </c>
      <c r="H840" t="s">
        <v>351</v>
      </c>
      <c r="I840" t="s">
        <v>352</v>
      </c>
      <c r="J840" t="s">
        <v>2038</v>
      </c>
      <c r="K840" t="s">
        <v>2038</v>
      </c>
      <c r="L840" t="s">
        <v>10</v>
      </c>
    </row>
    <row r="841" spans="1:12" ht="16" x14ac:dyDescent="0.2">
      <c r="A841" t="s">
        <v>1283</v>
      </c>
      <c r="B841">
        <v>1542</v>
      </c>
      <c r="C841" s="5">
        <v>100</v>
      </c>
      <c r="D841">
        <v>1.105</v>
      </c>
      <c r="E841" t="s">
        <v>10</v>
      </c>
      <c r="F841" t="s">
        <v>10</v>
      </c>
      <c r="G841" t="s">
        <v>10</v>
      </c>
      <c r="H841" t="s">
        <v>1284</v>
      </c>
      <c r="I841" t="s">
        <v>1285</v>
      </c>
      <c r="J841" t="s">
        <v>2038</v>
      </c>
      <c r="K841" t="s">
        <v>2038</v>
      </c>
      <c r="L841" t="s">
        <v>10</v>
      </c>
    </row>
    <row r="842" spans="1:12" ht="16" x14ac:dyDescent="0.2">
      <c r="A842" t="s">
        <v>1618</v>
      </c>
      <c r="B842">
        <v>1984</v>
      </c>
      <c r="C842" s="5">
        <v>100</v>
      </c>
      <c r="D842">
        <v>1.105</v>
      </c>
      <c r="E842" t="s">
        <v>10</v>
      </c>
      <c r="F842" t="s">
        <v>1619</v>
      </c>
      <c r="G842" t="s">
        <v>1620</v>
      </c>
      <c r="H842" t="str">
        <f>LEFT(I842, FIND(" sp.", I842) - 1)</f>
        <v>Moriomorphini</v>
      </c>
      <c r="I842" t="s">
        <v>1621</v>
      </c>
      <c r="J842" t="s">
        <v>2038</v>
      </c>
      <c r="K842" t="s">
        <v>2038</v>
      </c>
      <c r="L842" t="s">
        <v>10</v>
      </c>
    </row>
    <row r="843" spans="1:12" ht="16" x14ac:dyDescent="0.2">
      <c r="A843" t="s">
        <v>1393</v>
      </c>
      <c r="B843">
        <v>1657</v>
      </c>
      <c r="C843" s="5">
        <v>100</v>
      </c>
      <c r="D843">
        <v>3.40900000000001</v>
      </c>
      <c r="E843" t="s">
        <v>10</v>
      </c>
      <c r="F843" t="s">
        <v>11</v>
      </c>
      <c r="G843" t="s">
        <v>891</v>
      </c>
      <c r="H843" t="s">
        <v>1374</v>
      </c>
      <c r="I843" t="s">
        <v>1375</v>
      </c>
      <c r="J843" t="s">
        <v>2038</v>
      </c>
      <c r="K843" t="s">
        <v>2038</v>
      </c>
      <c r="L843" t="s">
        <v>10</v>
      </c>
    </row>
    <row r="844" spans="1:12" ht="16" x14ac:dyDescent="0.2">
      <c r="A844" t="s">
        <v>1636</v>
      </c>
      <c r="B844">
        <v>2002</v>
      </c>
      <c r="C844" s="5">
        <v>100</v>
      </c>
      <c r="D844">
        <v>100</v>
      </c>
      <c r="H844" t="s">
        <v>1637</v>
      </c>
      <c r="I844" t="s">
        <v>1638</v>
      </c>
      <c r="J844" t="s">
        <v>2038</v>
      </c>
      <c r="K844" t="s">
        <v>2038</v>
      </c>
      <c r="L844" t="s">
        <v>10</v>
      </c>
    </row>
    <row r="845" spans="1:12" ht="16" x14ac:dyDescent="0.2">
      <c r="A845" t="s">
        <v>808</v>
      </c>
      <c r="B845">
        <v>869</v>
      </c>
      <c r="C845" s="5">
        <v>100</v>
      </c>
      <c r="D845">
        <v>0.55200000000000704</v>
      </c>
      <c r="E845" t="s">
        <v>10</v>
      </c>
      <c r="F845" t="s">
        <v>10</v>
      </c>
      <c r="G845" t="s">
        <v>10</v>
      </c>
      <c r="H845" t="s">
        <v>809</v>
      </c>
      <c r="I845" t="s">
        <v>810</v>
      </c>
      <c r="J845" t="s">
        <v>2038</v>
      </c>
      <c r="K845" t="s">
        <v>2038</v>
      </c>
      <c r="L845" t="s">
        <v>10</v>
      </c>
    </row>
    <row r="846" spans="1:12" ht="16" x14ac:dyDescent="0.2">
      <c r="A846" t="s">
        <v>1048</v>
      </c>
      <c r="B846">
        <v>1234</v>
      </c>
      <c r="C846" s="5">
        <v>100</v>
      </c>
      <c r="D846">
        <v>0.55200000000000704</v>
      </c>
      <c r="E846" t="s">
        <v>10</v>
      </c>
      <c r="F846" t="s">
        <v>10</v>
      </c>
      <c r="G846" t="s">
        <v>10</v>
      </c>
      <c r="H846" t="s">
        <v>138</v>
      </c>
      <c r="I846" t="s">
        <v>139</v>
      </c>
      <c r="J846" t="s">
        <v>2038</v>
      </c>
      <c r="K846" t="s">
        <v>2038</v>
      </c>
      <c r="L846" t="s">
        <v>10</v>
      </c>
    </row>
    <row r="847" spans="1:12" ht="16" x14ac:dyDescent="0.2">
      <c r="A847" t="s">
        <v>201</v>
      </c>
      <c r="B847">
        <v>138</v>
      </c>
      <c r="C847" s="5">
        <v>100</v>
      </c>
      <c r="D847">
        <v>0.55200000000000704</v>
      </c>
      <c r="E847" t="s">
        <v>10</v>
      </c>
      <c r="F847" t="s">
        <v>10</v>
      </c>
      <c r="G847" t="s">
        <v>10</v>
      </c>
      <c r="H847" t="s">
        <v>138</v>
      </c>
      <c r="I847" t="s">
        <v>139</v>
      </c>
      <c r="J847" t="s">
        <v>2038</v>
      </c>
      <c r="K847" t="s">
        <v>2038</v>
      </c>
      <c r="L847" t="s">
        <v>10</v>
      </c>
    </row>
    <row r="848" spans="1:12" ht="16" x14ac:dyDescent="0.2">
      <c r="A848" t="s">
        <v>1688</v>
      </c>
      <c r="B848">
        <v>2088</v>
      </c>
      <c r="C848" s="5">
        <v>100</v>
      </c>
      <c r="D848">
        <v>0.57500000000000295</v>
      </c>
      <c r="E848" t="s">
        <v>10</v>
      </c>
      <c r="F848" t="s">
        <v>10</v>
      </c>
      <c r="G848" t="s">
        <v>10</v>
      </c>
      <c r="H848" t="s">
        <v>138</v>
      </c>
      <c r="I848" t="s">
        <v>139</v>
      </c>
      <c r="J848" t="s">
        <v>2038</v>
      </c>
      <c r="K848" t="s">
        <v>2038</v>
      </c>
      <c r="L848" t="s">
        <v>10</v>
      </c>
    </row>
    <row r="849" spans="1:12" ht="16" x14ac:dyDescent="0.2">
      <c r="A849" t="s">
        <v>136</v>
      </c>
      <c r="B849">
        <v>74</v>
      </c>
      <c r="C849" s="5">
        <v>100</v>
      </c>
      <c r="D849">
        <v>0</v>
      </c>
      <c r="E849" t="s">
        <v>10</v>
      </c>
      <c r="F849" t="s">
        <v>10</v>
      </c>
      <c r="G849" t="s">
        <v>137</v>
      </c>
      <c r="H849" t="s">
        <v>138</v>
      </c>
      <c r="I849" t="s">
        <v>139</v>
      </c>
      <c r="J849" t="s">
        <v>2038</v>
      </c>
      <c r="K849" t="s">
        <v>2038</v>
      </c>
      <c r="L849" t="s">
        <v>10</v>
      </c>
    </row>
    <row r="850" spans="1:12" ht="16" x14ac:dyDescent="0.2">
      <c r="A850" t="s">
        <v>322</v>
      </c>
      <c r="B850">
        <v>229</v>
      </c>
      <c r="C850" s="5">
        <v>100</v>
      </c>
      <c r="D850">
        <v>0.55200000000000704</v>
      </c>
      <c r="E850" t="s">
        <v>10</v>
      </c>
      <c r="F850" t="s">
        <v>10</v>
      </c>
      <c r="G850" t="s">
        <v>10</v>
      </c>
      <c r="H850" t="s">
        <v>138</v>
      </c>
      <c r="I850" t="s">
        <v>137</v>
      </c>
      <c r="J850" t="s">
        <v>2038</v>
      </c>
      <c r="K850" t="s">
        <v>2038</v>
      </c>
      <c r="L850" t="s">
        <v>10</v>
      </c>
    </row>
    <row r="851" spans="1:12" ht="16" x14ac:dyDescent="0.2">
      <c r="A851" t="s">
        <v>1595</v>
      </c>
      <c r="B851">
        <v>1963</v>
      </c>
      <c r="C851" s="5">
        <v>100</v>
      </c>
      <c r="D851">
        <v>1.657</v>
      </c>
      <c r="E851" t="s">
        <v>10</v>
      </c>
      <c r="F851" t="s">
        <v>10</v>
      </c>
      <c r="H851" t="s">
        <v>1596</v>
      </c>
      <c r="J851" t="s">
        <v>2038</v>
      </c>
      <c r="K851" t="s">
        <v>2038</v>
      </c>
      <c r="L851" t="s">
        <v>10</v>
      </c>
    </row>
    <row r="852" spans="1:12" ht="16" x14ac:dyDescent="0.2">
      <c r="A852" t="s">
        <v>1886</v>
      </c>
      <c r="B852">
        <v>2315</v>
      </c>
      <c r="C852" s="5">
        <v>100</v>
      </c>
      <c r="D852">
        <v>0</v>
      </c>
      <c r="E852" t="s">
        <v>10</v>
      </c>
      <c r="H852" t="s">
        <v>542</v>
      </c>
      <c r="J852" t="s">
        <v>2038</v>
      </c>
      <c r="K852" t="s">
        <v>2038</v>
      </c>
      <c r="L852" t="s">
        <v>10</v>
      </c>
    </row>
    <row r="853" spans="1:12" ht="16" x14ac:dyDescent="0.2">
      <c r="A853" t="s">
        <v>1316</v>
      </c>
      <c r="B853">
        <v>1564</v>
      </c>
      <c r="C853" s="5">
        <v>100</v>
      </c>
      <c r="D853">
        <v>100</v>
      </c>
      <c r="H853" t="str">
        <f>LEFT(I853, FIND(" sp.", I853) - 1)</f>
        <v>Symphypleona</v>
      </c>
      <c r="I853" t="s">
        <v>1317</v>
      </c>
      <c r="J853" t="s">
        <v>2038</v>
      </c>
      <c r="K853" t="s">
        <v>2038</v>
      </c>
      <c r="L853" t="s">
        <v>10</v>
      </c>
    </row>
    <row r="854" spans="1:12" ht="16" x14ac:dyDescent="0.2">
      <c r="A854" t="s">
        <v>59</v>
      </c>
      <c r="B854">
        <v>25</v>
      </c>
      <c r="C854" s="5">
        <v>100</v>
      </c>
      <c r="D854">
        <v>0.55200000000000704</v>
      </c>
      <c r="E854" t="s">
        <v>10</v>
      </c>
      <c r="F854" t="s">
        <v>10</v>
      </c>
      <c r="G854" t="s">
        <v>10</v>
      </c>
      <c r="H854" t="s">
        <v>60</v>
      </c>
      <c r="I854" t="s">
        <v>61</v>
      </c>
      <c r="J854" t="s">
        <v>2038</v>
      </c>
      <c r="K854" t="s">
        <v>2037</v>
      </c>
      <c r="L854" t="s">
        <v>10</v>
      </c>
    </row>
    <row r="855" spans="1:12" ht="16" x14ac:dyDescent="0.2">
      <c r="A855" t="s">
        <v>62</v>
      </c>
      <c r="B855">
        <v>29</v>
      </c>
      <c r="C855" s="5">
        <v>100</v>
      </c>
      <c r="D855">
        <v>0.55200000000000704</v>
      </c>
      <c r="E855" t="s">
        <v>10</v>
      </c>
      <c r="F855" t="s">
        <v>10</v>
      </c>
      <c r="G855" t="s">
        <v>10</v>
      </c>
      <c r="H855" t="s">
        <v>60</v>
      </c>
      <c r="I855" t="s">
        <v>61</v>
      </c>
      <c r="J855" t="s">
        <v>2038</v>
      </c>
      <c r="K855" t="s">
        <v>2037</v>
      </c>
      <c r="L855" t="s">
        <v>10</v>
      </c>
    </row>
    <row r="856" spans="1:12" ht="16" x14ac:dyDescent="0.2">
      <c r="A856" t="s">
        <v>366</v>
      </c>
      <c r="B856">
        <v>275</v>
      </c>
      <c r="C856" s="5">
        <v>100</v>
      </c>
      <c r="D856">
        <v>0</v>
      </c>
      <c r="E856" t="s">
        <v>10</v>
      </c>
      <c r="F856" t="s">
        <v>10</v>
      </c>
      <c r="G856" t="s">
        <v>367</v>
      </c>
      <c r="H856" t="s">
        <v>368</v>
      </c>
      <c r="I856" t="s">
        <v>369</v>
      </c>
      <c r="J856" t="s">
        <v>2038</v>
      </c>
      <c r="K856" t="s">
        <v>2037</v>
      </c>
      <c r="L856" t="s">
        <v>10</v>
      </c>
    </row>
    <row r="857" spans="1:12" ht="16" x14ac:dyDescent="0.2">
      <c r="A857" t="s">
        <v>1413</v>
      </c>
      <c r="B857">
        <v>1687</v>
      </c>
      <c r="C857" s="5">
        <v>100</v>
      </c>
      <c r="D857">
        <v>0</v>
      </c>
      <c r="E857" t="s">
        <v>10</v>
      </c>
      <c r="F857" t="s">
        <v>10</v>
      </c>
      <c r="H857" t="s">
        <v>226</v>
      </c>
      <c r="I857" t="s">
        <v>1414</v>
      </c>
      <c r="J857" t="s">
        <v>2038</v>
      </c>
      <c r="K857" t="s">
        <v>2037</v>
      </c>
      <c r="L857" t="s">
        <v>10</v>
      </c>
    </row>
  </sheetData>
  <autoFilter ref="A1:L858" xr:uid="{00000000-0001-0000-0300-000000000000}">
    <sortState xmlns:xlrd2="http://schemas.microsoft.com/office/spreadsheetml/2017/richdata2" ref="A2:L858">
      <sortCondition ref="C1:C858"/>
    </sortState>
  </autoFilter>
  <sortState xmlns:xlrd2="http://schemas.microsoft.com/office/spreadsheetml/2017/richdata2" ref="A2:L860">
    <sortCondition ref="K2:K860"/>
    <sortCondition ref="C2:C860"/>
  </sortState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2957F-FAC4-E947-9C58-B92A7D144EA5}">
  <sheetPr filterMode="1"/>
  <dimension ref="A1:P909"/>
  <sheetViews>
    <sheetView tabSelected="1" topLeftCell="C1" zoomScale="170" zoomScaleNormal="170" workbookViewId="0">
      <selection activeCell="M57" sqref="M57"/>
    </sheetView>
  </sheetViews>
  <sheetFormatPr baseColWidth="10" defaultRowHeight="15" x14ac:dyDescent="0.2"/>
  <cols>
    <col min="7" max="7" width="16.33203125" bestFit="1" customWidth="1"/>
    <col min="8" max="8" width="26.1640625" bestFit="1" customWidth="1"/>
    <col min="16" max="16" width="104.1640625" bestFit="1" customWidth="1"/>
  </cols>
  <sheetData>
    <row r="1" spans="1:16" x14ac:dyDescent="0.2">
      <c r="A1" t="s">
        <v>2047</v>
      </c>
      <c r="B1" t="s">
        <v>2048</v>
      </c>
      <c r="C1" t="s">
        <v>2049</v>
      </c>
      <c r="D1" t="s">
        <v>2050</v>
      </c>
      <c r="E1" t="s">
        <v>2051</v>
      </c>
      <c r="F1" t="s">
        <v>2052</v>
      </c>
      <c r="G1" t="s">
        <v>7</v>
      </c>
      <c r="H1" t="s">
        <v>8</v>
      </c>
      <c r="I1" t="s">
        <v>2053</v>
      </c>
      <c r="J1" t="s">
        <v>2054</v>
      </c>
      <c r="K1" t="s">
        <v>2055</v>
      </c>
      <c r="L1" t="s">
        <v>2056</v>
      </c>
      <c r="M1" t="s">
        <v>2057</v>
      </c>
      <c r="N1" t="s">
        <v>2036</v>
      </c>
      <c r="O1" t="s">
        <v>2039</v>
      </c>
      <c r="P1" t="s">
        <v>2058</v>
      </c>
    </row>
    <row r="2" spans="1:16" hidden="1" x14ac:dyDescent="0.2">
      <c r="A2" t="s">
        <v>1780</v>
      </c>
      <c r="B2">
        <v>2192</v>
      </c>
      <c r="C2" t="s">
        <v>2059</v>
      </c>
      <c r="D2" t="s">
        <v>2069</v>
      </c>
      <c r="E2" t="s">
        <v>2077</v>
      </c>
      <c r="F2" t="s">
        <v>2626</v>
      </c>
      <c r="G2" t="s">
        <v>2636</v>
      </c>
      <c r="H2" t="s">
        <v>2637</v>
      </c>
      <c r="I2">
        <v>97.540983606557404</v>
      </c>
      <c r="J2" t="s">
        <v>2113</v>
      </c>
      <c r="K2">
        <v>3</v>
      </c>
      <c r="L2">
        <v>1</v>
      </c>
      <c r="M2" t="s">
        <v>8</v>
      </c>
      <c r="N2" t="s">
        <v>2038</v>
      </c>
      <c r="O2" t="s">
        <v>10</v>
      </c>
      <c r="P2" t="s">
        <v>2638</v>
      </c>
    </row>
    <row r="3" spans="1:16" hidden="1" x14ac:dyDescent="0.2">
      <c r="A3" t="s">
        <v>1748</v>
      </c>
      <c r="B3">
        <v>2170</v>
      </c>
      <c r="C3" t="s">
        <v>2059</v>
      </c>
      <c r="D3" t="s">
        <v>2069</v>
      </c>
      <c r="E3" t="s">
        <v>2077</v>
      </c>
      <c r="F3" t="s">
        <v>2626</v>
      </c>
      <c r="I3">
        <v>94.318181818181799</v>
      </c>
      <c r="J3" t="s">
        <v>2063</v>
      </c>
      <c r="K3">
        <v>34</v>
      </c>
      <c r="L3">
        <v>0.97142857142857097</v>
      </c>
      <c r="M3" t="s">
        <v>2052</v>
      </c>
      <c r="N3" t="s">
        <v>2038</v>
      </c>
      <c r="O3" t="s">
        <v>10</v>
      </c>
    </row>
    <row r="4" spans="1:16" hidden="1" x14ac:dyDescent="0.2">
      <c r="A4" t="s">
        <v>1481</v>
      </c>
      <c r="B4">
        <v>1822</v>
      </c>
      <c r="C4" t="s">
        <v>2059</v>
      </c>
      <c r="D4" t="s">
        <v>2069</v>
      </c>
      <c r="E4" t="s">
        <v>2077</v>
      </c>
      <c r="F4" t="s">
        <v>1482</v>
      </c>
      <c r="G4" t="s">
        <v>1483</v>
      </c>
      <c r="I4">
        <v>98.3333333333333</v>
      </c>
      <c r="J4" t="s">
        <v>2063</v>
      </c>
      <c r="K4">
        <v>48</v>
      </c>
      <c r="L4">
        <v>1</v>
      </c>
      <c r="M4" t="s">
        <v>7</v>
      </c>
      <c r="N4" t="s">
        <v>2038</v>
      </c>
      <c r="O4" t="s">
        <v>10</v>
      </c>
    </row>
    <row r="5" spans="1:16" hidden="1" x14ac:dyDescent="0.2">
      <c r="A5" t="s">
        <v>1662</v>
      </c>
      <c r="B5">
        <v>2044</v>
      </c>
      <c r="C5" t="s">
        <v>2059</v>
      </c>
      <c r="D5" t="s">
        <v>2069</v>
      </c>
      <c r="E5" t="s">
        <v>2077</v>
      </c>
      <c r="F5" t="s">
        <v>2215</v>
      </c>
      <c r="G5" t="s">
        <v>415</v>
      </c>
      <c r="H5" t="s">
        <v>2603</v>
      </c>
      <c r="I5">
        <v>100</v>
      </c>
      <c r="J5" t="s">
        <v>2063</v>
      </c>
      <c r="K5">
        <v>34</v>
      </c>
      <c r="L5">
        <v>1</v>
      </c>
      <c r="M5" t="s">
        <v>8</v>
      </c>
      <c r="N5" t="s">
        <v>2038</v>
      </c>
      <c r="O5" t="s">
        <v>10</v>
      </c>
      <c r="P5" t="s">
        <v>2604</v>
      </c>
    </row>
    <row r="6" spans="1:16" hidden="1" x14ac:dyDescent="0.2">
      <c r="A6" t="s">
        <v>413</v>
      </c>
      <c r="B6">
        <v>335</v>
      </c>
      <c r="C6" t="s">
        <v>2059</v>
      </c>
      <c r="D6" t="s">
        <v>2069</v>
      </c>
      <c r="E6" t="s">
        <v>2077</v>
      </c>
      <c r="F6" t="s">
        <v>2215</v>
      </c>
      <c r="I6">
        <v>94.475138121547005</v>
      </c>
      <c r="J6" t="s">
        <v>2063</v>
      </c>
      <c r="K6">
        <v>34</v>
      </c>
      <c r="L6">
        <v>0.69387755102040805</v>
      </c>
      <c r="M6" t="s">
        <v>2052</v>
      </c>
      <c r="N6" t="s">
        <v>2038</v>
      </c>
      <c r="O6" t="s">
        <v>10</v>
      </c>
    </row>
    <row r="7" spans="1:16" hidden="1" x14ac:dyDescent="0.2">
      <c r="A7" t="s">
        <v>1814</v>
      </c>
      <c r="B7">
        <v>2233</v>
      </c>
      <c r="C7" t="s">
        <v>2059</v>
      </c>
      <c r="D7" t="s">
        <v>2069</v>
      </c>
      <c r="E7" t="s">
        <v>2077</v>
      </c>
      <c r="F7" t="s">
        <v>1163</v>
      </c>
      <c r="G7" t="s">
        <v>2649</v>
      </c>
      <c r="H7" t="s">
        <v>2650</v>
      </c>
      <c r="I7">
        <v>100</v>
      </c>
      <c r="J7" t="s">
        <v>2063</v>
      </c>
      <c r="K7">
        <v>2</v>
      </c>
      <c r="L7">
        <v>1</v>
      </c>
      <c r="M7" t="s">
        <v>8</v>
      </c>
      <c r="N7" t="s">
        <v>2038</v>
      </c>
      <c r="O7" t="s">
        <v>2040</v>
      </c>
      <c r="P7" t="s">
        <v>2651</v>
      </c>
    </row>
    <row r="8" spans="1:16" x14ac:dyDescent="0.2">
      <c r="A8" t="s">
        <v>2313</v>
      </c>
      <c r="B8">
        <v>682</v>
      </c>
      <c r="C8" t="s">
        <v>2059</v>
      </c>
      <c r="D8" t="s">
        <v>2069</v>
      </c>
      <c r="E8" t="s">
        <v>2314</v>
      </c>
      <c r="I8">
        <v>90</v>
      </c>
      <c r="J8" t="s">
        <v>2063</v>
      </c>
      <c r="K8">
        <v>1</v>
      </c>
      <c r="L8">
        <v>1</v>
      </c>
      <c r="M8" t="s">
        <v>2051</v>
      </c>
      <c r="N8" t="s">
        <v>2714</v>
      </c>
      <c r="O8" t="s">
        <v>10</v>
      </c>
    </row>
    <row r="9" spans="1:16" hidden="1" x14ac:dyDescent="0.2">
      <c r="A9" t="s">
        <v>980</v>
      </c>
      <c r="B9">
        <v>1142</v>
      </c>
      <c r="C9" t="s">
        <v>2059</v>
      </c>
      <c r="D9" t="s">
        <v>2069</v>
      </c>
      <c r="E9" t="s">
        <v>2077</v>
      </c>
      <c r="F9" t="s">
        <v>2418</v>
      </c>
      <c r="G9" t="s">
        <v>982</v>
      </c>
      <c r="I9">
        <v>96.296296296296305</v>
      </c>
      <c r="J9" t="s">
        <v>2063</v>
      </c>
      <c r="K9">
        <v>3</v>
      </c>
      <c r="L9">
        <v>1</v>
      </c>
      <c r="M9" t="s">
        <v>7</v>
      </c>
      <c r="N9" t="s">
        <v>2038</v>
      </c>
      <c r="O9" t="s">
        <v>10</v>
      </c>
    </row>
    <row r="10" spans="1:16" hidden="1" x14ac:dyDescent="0.2">
      <c r="A10" t="s">
        <v>1415</v>
      </c>
      <c r="B10">
        <v>1696</v>
      </c>
      <c r="C10" t="s">
        <v>2059</v>
      </c>
      <c r="D10" t="s">
        <v>2069</v>
      </c>
      <c r="E10" t="s">
        <v>2077</v>
      </c>
      <c r="F10" t="s">
        <v>2418</v>
      </c>
      <c r="I10">
        <v>98.895027624309407</v>
      </c>
      <c r="J10" t="s">
        <v>2063</v>
      </c>
      <c r="K10">
        <v>50</v>
      </c>
      <c r="L10">
        <v>1</v>
      </c>
      <c r="M10" t="s">
        <v>2052</v>
      </c>
      <c r="N10" t="s">
        <v>2038</v>
      </c>
      <c r="O10" t="s">
        <v>10</v>
      </c>
    </row>
    <row r="11" spans="1:16" hidden="1" x14ac:dyDescent="0.2">
      <c r="A11" t="s">
        <v>1792</v>
      </c>
      <c r="B11">
        <v>2205</v>
      </c>
      <c r="C11" t="s">
        <v>2059</v>
      </c>
      <c r="D11" t="s">
        <v>2069</v>
      </c>
      <c r="E11" t="s">
        <v>2077</v>
      </c>
      <c r="F11" t="s">
        <v>2418</v>
      </c>
      <c r="I11">
        <v>98.342541436464103</v>
      </c>
      <c r="J11" t="s">
        <v>2063</v>
      </c>
      <c r="K11">
        <v>50</v>
      </c>
      <c r="L11">
        <v>1</v>
      </c>
      <c r="M11" t="s">
        <v>2052</v>
      </c>
      <c r="N11" t="s">
        <v>2038</v>
      </c>
      <c r="O11" t="s">
        <v>10</v>
      </c>
    </row>
    <row r="12" spans="1:16" hidden="1" x14ac:dyDescent="0.2">
      <c r="A12" t="s">
        <v>1892</v>
      </c>
      <c r="B12">
        <v>2322</v>
      </c>
      <c r="C12" t="s">
        <v>2059</v>
      </c>
      <c r="D12" t="s">
        <v>2069</v>
      </c>
      <c r="E12" t="s">
        <v>2077</v>
      </c>
      <c r="F12" t="s">
        <v>2418</v>
      </c>
      <c r="I12">
        <v>98.342541436464103</v>
      </c>
      <c r="J12" t="s">
        <v>2063</v>
      </c>
      <c r="K12">
        <v>50</v>
      </c>
      <c r="L12">
        <v>1</v>
      </c>
      <c r="M12" t="s">
        <v>2052</v>
      </c>
      <c r="N12" t="s">
        <v>2038</v>
      </c>
      <c r="O12" t="s">
        <v>10</v>
      </c>
    </row>
    <row r="13" spans="1:16" hidden="1" x14ac:dyDescent="0.2">
      <c r="A13" t="s">
        <v>962</v>
      </c>
      <c r="B13">
        <v>1083</v>
      </c>
      <c r="C13" t="s">
        <v>2059</v>
      </c>
      <c r="D13" t="s">
        <v>2069</v>
      </c>
      <c r="E13" t="s">
        <v>2077</v>
      </c>
      <c r="F13" t="s">
        <v>2411</v>
      </c>
      <c r="G13" t="s">
        <v>964</v>
      </c>
      <c r="I13">
        <v>95.151515151515198</v>
      </c>
      <c r="J13" t="s">
        <v>2063</v>
      </c>
      <c r="K13">
        <v>1</v>
      </c>
      <c r="L13">
        <v>1</v>
      </c>
      <c r="M13" t="s">
        <v>7</v>
      </c>
      <c r="N13" t="s">
        <v>2037</v>
      </c>
      <c r="O13" t="s">
        <v>10</v>
      </c>
    </row>
    <row r="14" spans="1:16" hidden="1" x14ac:dyDescent="0.2">
      <c r="A14" t="s">
        <v>1307</v>
      </c>
      <c r="B14">
        <v>1556</v>
      </c>
      <c r="C14" t="s">
        <v>2059</v>
      </c>
      <c r="D14" t="s">
        <v>2069</v>
      </c>
      <c r="E14" t="s">
        <v>2077</v>
      </c>
      <c r="F14" t="s">
        <v>2411</v>
      </c>
      <c r="G14" t="s">
        <v>964</v>
      </c>
      <c r="I14">
        <v>95.027624309392294</v>
      </c>
      <c r="J14" t="s">
        <v>2113</v>
      </c>
      <c r="K14">
        <v>1</v>
      </c>
      <c r="L14">
        <v>1</v>
      </c>
      <c r="M14" t="s">
        <v>7</v>
      </c>
      <c r="N14" t="s">
        <v>2037</v>
      </c>
      <c r="O14" t="s">
        <v>10</v>
      </c>
    </row>
    <row r="15" spans="1:16" hidden="1" x14ac:dyDescent="0.2">
      <c r="A15" t="s">
        <v>1538</v>
      </c>
      <c r="B15">
        <v>1889</v>
      </c>
      <c r="C15" t="s">
        <v>2059</v>
      </c>
      <c r="D15" t="s">
        <v>2069</v>
      </c>
      <c r="E15" t="s">
        <v>2077</v>
      </c>
      <c r="F15" t="s">
        <v>2411</v>
      </c>
      <c r="G15" t="s">
        <v>964</v>
      </c>
      <c r="I15">
        <v>96.1111111111111</v>
      </c>
      <c r="J15" t="s">
        <v>2063</v>
      </c>
      <c r="K15">
        <v>50</v>
      </c>
      <c r="L15">
        <v>1</v>
      </c>
      <c r="M15" t="s">
        <v>7</v>
      </c>
      <c r="N15" t="s">
        <v>2037</v>
      </c>
      <c r="O15" t="s">
        <v>10</v>
      </c>
    </row>
    <row r="16" spans="1:16" hidden="1" x14ac:dyDescent="0.2">
      <c r="A16" t="s">
        <v>1883</v>
      </c>
      <c r="B16">
        <v>2313</v>
      </c>
      <c r="C16" t="s">
        <v>2059</v>
      </c>
      <c r="D16" t="s">
        <v>2069</v>
      </c>
      <c r="E16" t="s">
        <v>2077</v>
      </c>
      <c r="F16" t="s">
        <v>2411</v>
      </c>
      <c r="G16" t="s">
        <v>964</v>
      </c>
      <c r="I16">
        <v>95.151515151515198</v>
      </c>
      <c r="J16" t="s">
        <v>2063</v>
      </c>
      <c r="K16">
        <v>1</v>
      </c>
      <c r="L16">
        <v>1</v>
      </c>
      <c r="M16" t="s">
        <v>7</v>
      </c>
      <c r="N16" t="s">
        <v>2037</v>
      </c>
      <c r="O16" t="s">
        <v>10</v>
      </c>
    </row>
    <row r="17" spans="1:16" hidden="1" x14ac:dyDescent="0.2">
      <c r="A17" t="s">
        <v>1974</v>
      </c>
      <c r="B17">
        <v>2501</v>
      </c>
      <c r="C17" t="s">
        <v>2059</v>
      </c>
      <c r="D17" t="s">
        <v>2069</v>
      </c>
      <c r="E17" t="s">
        <v>2077</v>
      </c>
      <c r="F17" t="s">
        <v>2411</v>
      </c>
      <c r="I17">
        <v>93.3333333333333</v>
      </c>
      <c r="J17" t="s">
        <v>2063</v>
      </c>
      <c r="K17">
        <v>50</v>
      </c>
      <c r="L17">
        <v>1</v>
      </c>
      <c r="M17" t="s">
        <v>2052</v>
      </c>
      <c r="N17" t="s">
        <v>2037</v>
      </c>
      <c r="O17" t="s">
        <v>10</v>
      </c>
    </row>
    <row r="18" spans="1:16" hidden="1" x14ac:dyDescent="0.2">
      <c r="A18" t="s">
        <v>1979</v>
      </c>
      <c r="B18">
        <v>2506</v>
      </c>
      <c r="C18" t="s">
        <v>2059</v>
      </c>
      <c r="D18" t="s">
        <v>2069</v>
      </c>
      <c r="E18" t="s">
        <v>2077</v>
      </c>
      <c r="F18" t="s">
        <v>2411</v>
      </c>
      <c r="I18">
        <v>94.545454545454504</v>
      </c>
      <c r="J18" t="s">
        <v>2063</v>
      </c>
      <c r="K18">
        <v>50</v>
      </c>
      <c r="L18">
        <v>1</v>
      </c>
      <c r="M18" t="s">
        <v>2052</v>
      </c>
      <c r="N18" t="s">
        <v>2037</v>
      </c>
      <c r="O18" t="s">
        <v>10</v>
      </c>
    </row>
    <row r="19" spans="1:16" x14ac:dyDescent="0.2">
      <c r="A19" t="s">
        <v>2599</v>
      </c>
      <c r="B19">
        <v>2023</v>
      </c>
      <c r="C19" t="s">
        <v>2059</v>
      </c>
      <c r="D19" t="s">
        <v>2066</v>
      </c>
      <c r="E19" t="s">
        <v>2091</v>
      </c>
      <c r="I19">
        <v>90</v>
      </c>
      <c r="J19" t="s">
        <v>2063</v>
      </c>
      <c r="K19">
        <v>1</v>
      </c>
      <c r="L19">
        <v>1</v>
      </c>
      <c r="M19" t="s">
        <v>2051</v>
      </c>
      <c r="N19" t="s">
        <v>2714</v>
      </c>
      <c r="O19" t="s">
        <v>10</v>
      </c>
    </row>
    <row r="20" spans="1:16" hidden="1" x14ac:dyDescent="0.2">
      <c r="A20" t="s">
        <v>1376</v>
      </c>
      <c r="B20">
        <v>1633</v>
      </c>
      <c r="C20" t="s">
        <v>2059</v>
      </c>
      <c r="D20" t="s">
        <v>2069</v>
      </c>
      <c r="E20" t="s">
        <v>2077</v>
      </c>
      <c r="F20" t="s">
        <v>2246</v>
      </c>
      <c r="G20" t="s">
        <v>1378</v>
      </c>
      <c r="H20" t="s">
        <v>1379</v>
      </c>
      <c r="I20">
        <v>100</v>
      </c>
      <c r="J20" t="s">
        <v>2063</v>
      </c>
      <c r="K20">
        <v>36</v>
      </c>
      <c r="L20">
        <v>1</v>
      </c>
      <c r="M20" t="s">
        <v>8</v>
      </c>
      <c r="N20" t="s">
        <v>2038</v>
      </c>
      <c r="O20" t="s">
        <v>10</v>
      </c>
      <c r="P20" t="s">
        <v>2528</v>
      </c>
    </row>
    <row r="21" spans="1:16" hidden="1" x14ac:dyDescent="0.2">
      <c r="A21" t="s">
        <v>1928</v>
      </c>
      <c r="B21">
        <v>2378</v>
      </c>
      <c r="C21" t="s">
        <v>2059</v>
      </c>
      <c r="D21" t="s">
        <v>2069</v>
      </c>
      <c r="E21" t="s">
        <v>2077</v>
      </c>
      <c r="F21" t="s">
        <v>2246</v>
      </c>
      <c r="G21" t="s">
        <v>490</v>
      </c>
      <c r="H21" t="s">
        <v>1929</v>
      </c>
      <c r="I21">
        <v>99.447513812154696</v>
      </c>
      <c r="J21" t="s">
        <v>2113</v>
      </c>
      <c r="K21">
        <v>41</v>
      </c>
      <c r="L21">
        <v>1</v>
      </c>
      <c r="M21" t="s">
        <v>8</v>
      </c>
      <c r="N21" t="s">
        <v>2038</v>
      </c>
      <c r="O21" t="s">
        <v>2040</v>
      </c>
      <c r="P21" t="s">
        <v>2683</v>
      </c>
    </row>
    <row r="22" spans="1:16" hidden="1" x14ac:dyDescent="0.2">
      <c r="A22" t="s">
        <v>489</v>
      </c>
      <c r="B22">
        <v>458</v>
      </c>
      <c r="C22" t="s">
        <v>2059</v>
      </c>
      <c r="D22" t="s">
        <v>2069</v>
      </c>
      <c r="E22" t="s">
        <v>2077</v>
      </c>
      <c r="F22" t="s">
        <v>2246</v>
      </c>
      <c r="G22" t="s">
        <v>490</v>
      </c>
      <c r="I22">
        <v>96</v>
      </c>
      <c r="J22" t="s">
        <v>2063</v>
      </c>
      <c r="K22">
        <v>1</v>
      </c>
      <c r="L22">
        <v>1</v>
      </c>
      <c r="M22" t="s">
        <v>7</v>
      </c>
      <c r="N22" t="s">
        <v>2037</v>
      </c>
      <c r="O22" t="s">
        <v>10</v>
      </c>
    </row>
    <row r="23" spans="1:16" hidden="1" x14ac:dyDescent="0.2">
      <c r="A23" t="s">
        <v>1817</v>
      </c>
      <c r="B23">
        <v>2237</v>
      </c>
      <c r="C23" t="s">
        <v>2059</v>
      </c>
      <c r="D23" t="s">
        <v>2069</v>
      </c>
      <c r="E23" t="s">
        <v>2077</v>
      </c>
      <c r="F23" t="s">
        <v>2246</v>
      </c>
      <c r="G23" t="s">
        <v>490</v>
      </c>
      <c r="I23">
        <v>95.906432748537995</v>
      </c>
      <c r="J23" t="s">
        <v>2063</v>
      </c>
      <c r="K23">
        <v>25</v>
      </c>
      <c r="L23">
        <v>1</v>
      </c>
      <c r="M23" t="s">
        <v>7</v>
      </c>
      <c r="N23" t="s">
        <v>2037</v>
      </c>
      <c r="O23" t="s">
        <v>10</v>
      </c>
    </row>
    <row r="24" spans="1:16" hidden="1" x14ac:dyDescent="0.2">
      <c r="A24" t="s">
        <v>1868</v>
      </c>
      <c r="B24">
        <v>2305</v>
      </c>
      <c r="C24" t="s">
        <v>2059</v>
      </c>
      <c r="D24" t="s">
        <v>2069</v>
      </c>
      <c r="E24" t="s">
        <v>2077</v>
      </c>
      <c r="F24" t="s">
        <v>2246</v>
      </c>
      <c r="G24" t="s">
        <v>490</v>
      </c>
      <c r="I24">
        <v>95.906432748537995</v>
      </c>
      <c r="J24" t="s">
        <v>2063</v>
      </c>
      <c r="K24">
        <v>24</v>
      </c>
      <c r="L24">
        <v>1</v>
      </c>
      <c r="M24" t="s">
        <v>7</v>
      </c>
      <c r="N24" t="s">
        <v>2037</v>
      </c>
      <c r="O24" t="s">
        <v>10</v>
      </c>
    </row>
    <row r="25" spans="1:16" hidden="1" x14ac:dyDescent="0.2">
      <c r="A25" t="s">
        <v>1361</v>
      </c>
      <c r="B25">
        <v>1613</v>
      </c>
      <c r="C25" t="s">
        <v>2059</v>
      </c>
      <c r="D25" t="s">
        <v>2069</v>
      </c>
      <c r="E25" t="s">
        <v>2077</v>
      </c>
      <c r="F25" t="s">
        <v>23</v>
      </c>
      <c r="G25" t="s">
        <v>1362</v>
      </c>
      <c r="H25" t="s">
        <v>1363</v>
      </c>
      <c r="I25">
        <v>97.790055248618799</v>
      </c>
      <c r="J25" t="s">
        <v>2063</v>
      </c>
      <c r="K25">
        <v>50</v>
      </c>
      <c r="L25">
        <v>1</v>
      </c>
      <c r="M25" t="s">
        <v>8</v>
      </c>
      <c r="N25" t="s">
        <v>2038</v>
      </c>
      <c r="O25" t="s">
        <v>10</v>
      </c>
      <c r="P25" t="s">
        <v>2524</v>
      </c>
    </row>
    <row r="26" spans="1:16" hidden="1" x14ac:dyDescent="0.2">
      <c r="A26" t="s">
        <v>1252</v>
      </c>
      <c r="B26">
        <v>1513</v>
      </c>
      <c r="C26" t="s">
        <v>2059</v>
      </c>
      <c r="D26" t="s">
        <v>2069</v>
      </c>
      <c r="E26" t="s">
        <v>2077</v>
      </c>
      <c r="F26" t="s">
        <v>23</v>
      </c>
      <c r="G26" t="s">
        <v>1253</v>
      </c>
      <c r="H26" t="s">
        <v>1412</v>
      </c>
      <c r="I26">
        <v>100</v>
      </c>
      <c r="J26" t="s">
        <v>2063</v>
      </c>
      <c r="K26">
        <v>45</v>
      </c>
      <c r="L26">
        <v>0.95744680851063801</v>
      </c>
      <c r="M26" t="s">
        <v>8</v>
      </c>
      <c r="N26" t="s">
        <v>2038</v>
      </c>
      <c r="O26" t="s">
        <v>10</v>
      </c>
      <c r="P26" t="s">
        <v>2493</v>
      </c>
    </row>
    <row r="27" spans="1:16" hidden="1" x14ac:dyDescent="0.2">
      <c r="A27" t="s">
        <v>1411</v>
      </c>
      <c r="B27">
        <v>1684</v>
      </c>
      <c r="C27" t="s">
        <v>2059</v>
      </c>
      <c r="D27" t="s">
        <v>2069</v>
      </c>
      <c r="E27" t="s">
        <v>2077</v>
      </c>
      <c r="F27" t="s">
        <v>23</v>
      </c>
      <c r="G27" t="s">
        <v>1253</v>
      </c>
      <c r="H27" t="s">
        <v>1412</v>
      </c>
      <c r="I27">
        <v>100</v>
      </c>
      <c r="J27" t="s">
        <v>2063</v>
      </c>
      <c r="K27">
        <v>22</v>
      </c>
      <c r="L27">
        <v>1</v>
      </c>
      <c r="M27" t="s">
        <v>8</v>
      </c>
      <c r="N27" t="s">
        <v>2038</v>
      </c>
      <c r="O27" t="s">
        <v>10</v>
      </c>
      <c r="P27" t="s">
        <v>2535</v>
      </c>
    </row>
    <row r="28" spans="1:16" hidden="1" x14ac:dyDescent="0.2">
      <c r="A28" t="s">
        <v>114</v>
      </c>
      <c r="B28">
        <v>66</v>
      </c>
      <c r="C28" t="s">
        <v>2059</v>
      </c>
      <c r="D28" t="s">
        <v>2069</v>
      </c>
      <c r="E28" t="s">
        <v>2077</v>
      </c>
      <c r="F28" t="s">
        <v>23</v>
      </c>
      <c r="G28" t="s">
        <v>115</v>
      </c>
      <c r="I28">
        <v>96.6480446927374</v>
      </c>
      <c r="J28" t="s">
        <v>2063</v>
      </c>
      <c r="K28">
        <v>45</v>
      </c>
      <c r="L28">
        <v>0.9</v>
      </c>
      <c r="M28" t="s">
        <v>7</v>
      </c>
      <c r="N28" t="s">
        <v>2037</v>
      </c>
      <c r="O28" t="s">
        <v>10</v>
      </c>
    </row>
    <row r="29" spans="1:16" hidden="1" x14ac:dyDescent="0.2">
      <c r="A29" t="s">
        <v>1309</v>
      </c>
      <c r="B29">
        <v>1557</v>
      </c>
      <c r="C29" t="s">
        <v>2059</v>
      </c>
      <c r="D29" t="s">
        <v>2069</v>
      </c>
      <c r="E29" t="s">
        <v>2077</v>
      </c>
      <c r="F29" t="s">
        <v>23</v>
      </c>
      <c r="G29" t="s">
        <v>1310</v>
      </c>
      <c r="H29" t="s">
        <v>1311</v>
      </c>
      <c r="I29">
        <v>100</v>
      </c>
      <c r="J29" t="s">
        <v>2113</v>
      </c>
      <c r="K29">
        <v>10</v>
      </c>
      <c r="L29">
        <v>1</v>
      </c>
      <c r="M29" t="s">
        <v>8</v>
      </c>
      <c r="N29" t="s">
        <v>2038</v>
      </c>
      <c r="O29" t="s">
        <v>10</v>
      </c>
      <c r="P29" t="s">
        <v>2509</v>
      </c>
    </row>
    <row r="30" spans="1:16" hidden="1" x14ac:dyDescent="0.2">
      <c r="A30" t="s">
        <v>389</v>
      </c>
      <c r="B30">
        <v>305</v>
      </c>
      <c r="C30" t="s">
        <v>2059</v>
      </c>
      <c r="D30" t="s">
        <v>2069</v>
      </c>
      <c r="E30" t="s">
        <v>2077</v>
      </c>
      <c r="F30" t="s">
        <v>23</v>
      </c>
      <c r="G30" t="s">
        <v>390</v>
      </c>
      <c r="I30">
        <v>100</v>
      </c>
      <c r="J30" t="s">
        <v>2113</v>
      </c>
      <c r="K30">
        <v>9</v>
      </c>
      <c r="L30">
        <v>1</v>
      </c>
      <c r="M30" t="s">
        <v>7</v>
      </c>
      <c r="N30" t="s">
        <v>2038</v>
      </c>
      <c r="O30" t="s">
        <v>10</v>
      </c>
    </row>
    <row r="31" spans="1:16" hidden="1" x14ac:dyDescent="0.2">
      <c r="A31" t="s">
        <v>715</v>
      </c>
      <c r="B31">
        <v>724</v>
      </c>
      <c r="C31" t="s">
        <v>2059</v>
      </c>
      <c r="D31" t="s">
        <v>2069</v>
      </c>
      <c r="E31" t="s">
        <v>2077</v>
      </c>
      <c r="F31" t="s">
        <v>23</v>
      </c>
      <c r="G31" t="s">
        <v>390</v>
      </c>
      <c r="I31">
        <v>99.447513812154696</v>
      </c>
      <c r="J31" t="s">
        <v>2113</v>
      </c>
      <c r="K31">
        <v>9</v>
      </c>
      <c r="L31">
        <v>1</v>
      </c>
      <c r="M31" t="s">
        <v>7</v>
      </c>
      <c r="N31" t="s">
        <v>2038</v>
      </c>
      <c r="O31" t="s">
        <v>10</v>
      </c>
    </row>
    <row r="32" spans="1:16" hidden="1" x14ac:dyDescent="0.2">
      <c r="A32" t="s">
        <v>1083</v>
      </c>
      <c r="B32">
        <v>1282</v>
      </c>
      <c r="C32" t="s">
        <v>2059</v>
      </c>
      <c r="D32" t="s">
        <v>2069</v>
      </c>
      <c r="E32" t="s">
        <v>2077</v>
      </c>
      <c r="F32" t="s">
        <v>23</v>
      </c>
      <c r="G32" t="s">
        <v>390</v>
      </c>
      <c r="I32">
        <v>99.447513812154696</v>
      </c>
      <c r="J32" t="s">
        <v>2113</v>
      </c>
      <c r="K32">
        <v>9</v>
      </c>
      <c r="L32">
        <v>1</v>
      </c>
      <c r="M32" t="s">
        <v>7</v>
      </c>
      <c r="N32" t="s">
        <v>2038</v>
      </c>
      <c r="O32" t="s">
        <v>10</v>
      </c>
    </row>
    <row r="33" spans="1:16" hidden="1" x14ac:dyDescent="0.2">
      <c r="A33" t="s">
        <v>480</v>
      </c>
      <c r="B33">
        <v>426</v>
      </c>
      <c r="C33" t="s">
        <v>2059</v>
      </c>
      <c r="D33" t="s">
        <v>2069</v>
      </c>
      <c r="E33" t="s">
        <v>2077</v>
      </c>
      <c r="F33" t="s">
        <v>23</v>
      </c>
      <c r="G33" t="s">
        <v>24</v>
      </c>
      <c r="H33" t="s">
        <v>25</v>
      </c>
      <c r="I33">
        <v>97.237569060773495</v>
      </c>
      <c r="J33" t="s">
        <v>2063</v>
      </c>
      <c r="K33">
        <v>15</v>
      </c>
      <c r="L33">
        <v>1</v>
      </c>
      <c r="M33" t="s">
        <v>8</v>
      </c>
      <c r="N33" t="s">
        <v>2037</v>
      </c>
      <c r="O33" t="s">
        <v>10</v>
      </c>
      <c r="P33" t="s">
        <v>2241</v>
      </c>
    </row>
    <row r="34" spans="1:16" hidden="1" x14ac:dyDescent="0.2">
      <c r="A34" t="s">
        <v>22</v>
      </c>
      <c r="B34">
        <v>13</v>
      </c>
      <c r="C34" t="s">
        <v>2059</v>
      </c>
      <c r="D34" t="s">
        <v>2069</v>
      </c>
      <c r="E34" t="s">
        <v>2077</v>
      </c>
      <c r="F34" t="s">
        <v>23</v>
      </c>
      <c r="G34" t="s">
        <v>24</v>
      </c>
      <c r="I34">
        <v>96.132596685082902</v>
      </c>
      <c r="J34" t="s">
        <v>2063</v>
      </c>
      <c r="K34">
        <v>30</v>
      </c>
      <c r="L34">
        <v>1</v>
      </c>
      <c r="M34" t="s">
        <v>7</v>
      </c>
      <c r="N34" t="s">
        <v>2037</v>
      </c>
      <c r="O34" t="s">
        <v>10</v>
      </c>
    </row>
    <row r="35" spans="1:16" hidden="1" x14ac:dyDescent="0.2">
      <c r="A35" t="s">
        <v>1857</v>
      </c>
      <c r="B35">
        <v>2284</v>
      </c>
      <c r="C35" t="s">
        <v>2059</v>
      </c>
      <c r="D35" t="s">
        <v>2069</v>
      </c>
      <c r="E35" t="s">
        <v>2077</v>
      </c>
      <c r="F35" t="s">
        <v>23</v>
      </c>
      <c r="G35" t="s">
        <v>24</v>
      </c>
      <c r="I35">
        <v>96.685082872928206</v>
      </c>
      <c r="J35" t="s">
        <v>2063</v>
      </c>
      <c r="K35">
        <v>38</v>
      </c>
      <c r="L35">
        <v>1</v>
      </c>
      <c r="M35" t="s">
        <v>7</v>
      </c>
      <c r="N35" t="s">
        <v>2037</v>
      </c>
      <c r="O35" t="s">
        <v>10</v>
      </c>
    </row>
    <row r="36" spans="1:16" hidden="1" x14ac:dyDescent="0.2">
      <c r="A36" t="s">
        <v>1970</v>
      </c>
      <c r="B36">
        <v>2491</v>
      </c>
      <c r="C36" t="s">
        <v>2059</v>
      </c>
      <c r="D36" t="s">
        <v>2069</v>
      </c>
      <c r="E36" t="s">
        <v>2077</v>
      </c>
      <c r="F36" t="s">
        <v>23</v>
      </c>
      <c r="G36" t="s">
        <v>24</v>
      </c>
      <c r="I36">
        <v>96.685082872928206</v>
      </c>
      <c r="J36" t="s">
        <v>2063</v>
      </c>
      <c r="K36">
        <v>40</v>
      </c>
      <c r="L36">
        <v>1</v>
      </c>
      <c r="M36" t="s">
        <v>7</v>
      </c>
      <c r="N36" t="s">
        <v>2037</v>
      </c>
      <c r="O36" t="s">
        <v>10</v>
      </c>
    </row>
    <row r="37" spans="1:16" hidden="1" x14ac:dyDescent="0.2">
      <c r="A37" t="s">
        <v>2025</v>
      </c>
      <c r="B37">
        <v>2579</v>
      </c>
      <c r="C37" t="s">
        <v>2059</v>
      </c>
      <c r="D37" t="s">
        <v>2069</v>
      </c>
      <c r="E37" t="s">
        <v>2077</v>
      </c>
      <c r="F37" t="s">
        <v>23</v>
      </c>
      <c r="G37" t="s">
        <v>24</v>
      </c>
      <c r="I37">
        <v>96.685082872928206</v>
      </c>
      <c r="J37" t="s">
        <v>2063</v>
      </c>
      <c r="K37">
        <v>40</v>
      </c>
      <c r="L37">
        <v>1</v>
      </c>
      <c r="M37" t="s">
        <v>7</v>
      </c>
      <c r="N37" t="s">
        <v>2037</v>
      </c>
      <c r="O37" t="s">
        <v>10</v>
      </c>
    </row>
    <row r="38" spans="1:16" hidden="1" x14ac:dyDescent="0.2">
      <c r="A38" t="s">
        <v>703</v>
      </c>
      <c r="B38">
        <v>707</v>
      </c>
      <c r="C38" t="s">
        <v>2059</v>
      </c>
      <c r="D38" t="s">
        <v>2069</v>
      </c>
      <c r="E38" t="s">
        <v>2077</v>
      </c>
      <c r="F38" t="s">
        <v>23</v>
      </c>
      <c r="G38" t="s">
        <v>2327</v>
      </c>
      <c r="H38" t="s">
        <v>2328</v>
      </c>
      <c r="I38">
        <v>97.237569060773495</v>
      </c>
      <c r="J38" t="s">
        <v>2063</v>
      </c>
      <c r="K38">
        <v>7</v>
      </c>
      <c r="L38">
        <v>1</v>
      </c>
      <c r="M38" t="s">
        <v>8</v>
      </c>
      <c r="N38" t="s">
        <v>2038</v>
      </c>
      <c r="O38" t="s">
        <v>10</v>
      </c>
      <c r="P38" t="s">
        <v>2329</v>
      </c>
    </row>
    <row r="39" spans="1:16" hidden="1" x14ac:dyDescent="0.2">
      <c r="A39" t="s">
        <v>972</v>
      </c>
      <c r="B39">
        <v>1113</v>
      </c>
      <c r="C39" t="s">
        <v>2059</v>
      </c>
      <c r="D39" t="s">
        <v>2069</v>
      </c>
      <c r="E39" t="s">
        <v>2077</v>
      </c>
      <c r="F39" t="s">
        <v>23</v>
      </c>
      <c r="G39" t="s">
        <v>2327</v>
      </c>
      <c r="I39">
        <v>99.354838709677395</v>
      </c>
      <c r="J39" t="s">
        <v>2113</v>
      </c>
      <c r="K39">
        <v>37</v>
      </c>
      <c r="L39">
        <v>0.80434782608695699</v>
      </c>
      <c r="M39" t="s">
        <v>7</v>
      </c>
      <c r="N39" t="s">
        <v>2038</v>
      </c>
      <c r="O39" t="s">
        <v>10</v>
      </c>
    </row>
    <row r="40" spans="1:16" hidden="1" x14ac:dyDescent="0.2">
      <c r="A40" t="s">
        <v>1617</v>
      </c>
      <c r="B40">
        <v>1979</v>
      </c>
      <c r="C40" t="s">
        <v>2059</v>
      </c>
      <c r="D40" t="s">
        <v>2069</v>
      </c>
      <c r="E40" t="s">
        <v>2077</v>
      </c>
      <c r="F40" t="s">
        <v>23</v>
      </c>
      <c r="G40" t="s">
        <v>2327</v>
      </c>
      <c r="I40">
        <v>99.350649350649306</v>
      </c>
      <c r="J40" t="s">
        <v>2113</v>
      </c>
      <c r="K40">
        <v>37</v>
      </c>
      <c r="L40">
        <v>0.80434782608695699</v>
      </c>
      <c r="M40" t="s">
        <v>7</v>
      </c>
      <c r="N40" t="s">
        <v>2038</v>
      </c>
      <c r="O40" t="s">
        <v>10</v>
      </c>
    </row>
    <row r="41" spans="1:16" hidden="1" x14ac:dyDescent="0.2">
      <c r="A41" t="s">
        <v>1315</v>
      </c>
      <c r="B41">
        <v>1562</v>
      </c>
      <c r="C41" t="s">
        <v>2059</v>
      </c>
      <c r="D41" t="s">
        <v>2069</v>
      </c>
      <c r="E41" t="s">
        <v>2077</v>
      </c>
      <c r="F41" t="s">
        <v>23</v>
      </c>
      <c r="I41">
        <v>94.475138121547005</v>
      </c>
      <c r="J41" t="s">
        <v>2063</v>
      </c>
      <c r="K41">
        <v>50</v>
      </c>
      <c r="L41">
        <v>1</v>
      </c>
      <c r="M41" t="s">
        <v>2052</v>
      </c>
      <c r="N41" t="s">
        <v>2037</v>
      </c>
      <c r="O41" t="s">
        <v>10</v>
      </c>
    </row>
    <row r="42" spans="1:16" hidden="1" x14ac:dyDescent="0.2">
      <c r="A42" t="s">
        <v>1365</v>
      </c>
      <c r="B42">
        <v>1615</v>
      </c>
      <c r="C42" t="s">
        <v>2059</v>
      </c>
      <c r="D42" t="s">
        <v>2069</v>
      </c>
      <c r="E42" t="s">
        <v>2077</v>
      </c>
      <c r="F42" t="s">
        <v>23</v>
      </c>
      <c r="I42">
        <v>94.186046511627893</v>
      </c>
      <c r="J42" t="s">
        <v>2063</v>
      </c>
      <c r="K42">
        <v>50</v>
      </c>
      <c r="L42">
        <v>1</v>
      </c>
      <c r="M42" t="s">
        <v>2052</v>
      </c>
      <c r="N42" t="s">
        <v>2037</v>
      </c>
      <c r="O42" t="s">
        <v>10</v>
      </c>
    </row>
    <row r="43" spans="1:16" hidden="1" x14ac:dyDescent="0.2">
      <c r="A43" t="s">
        <v>580</v>
      </c>
      <c r="B43">
        <v>582</v>
      </c>
      <c r="C43" t="s">
        <v>2059</v>
      </c>
      <c r="D43" t="s">
        <v>2069</v>
      </c>
      <c r="E43" t="s">
        <v>2077</v>
      </c>
      <c r="F43" t="s">
        <v>2281</v>
      </c>
      <c r="G43" t="s">
        <v>2282</v>
      </c>
      <c r="I43">
        <v>95.238095238095198</v>
      </c>
      <c r="J43" t="s">
        <v>2063</v>
      </c>
      <c r="K43">
        <v>1</v>
      </c>
      <c r="L43">
        <v>1</v>
      </c>
      <c r="M43" t="s">
        <v>7</v>
      </c>
      <c r="N43" t="s">
        <v>2038</v>
      </c>
      <c r="O43" t="s">
        <v>10</v>
      </c>
    </row>
    <row r="44" spans="1:16" hidden="1" x14ac:dyDescent="0.2">
      <c r="A44" t="s">
        <v>2539</v>
      </c>
      <c r="B44">
        <v>1737</v>
      </c>
      <c r="C44" t="s">
        <v>2059</v>
      </c>
      <c r="D44" t="s">
        <v>2069</v>
      </c>
      <c r="E44" t="s">
        <v>2077</v>
      </c>
      <c r="F44" t="s">
        <v>2540</v>
      </c>
      <c r="I44">
        <v>91.139240506329102</v>
      </c>
      <c r="J44" t="s">
        <v>2113</v>
      </c>
      <c r="K44">
        <v>11</v>
      </c>
      <c r="L44">
        <v>1</v>
      </c>
      <c r="M44" t="s">
        <v>2052</v>
      </c>
      <c r="N44" t="s">
        <v>2038</v>
      </c>
      <c r="O44" t="s">
        <v>10</v>
      </c>
    </row>
    <row r="45" spans="1:16" hidden="1" x14ac:dyDescent="0.2">
      <c r="A45" t="s">
        <v>2489</v>
      </c>
      <c r="B45">
        <v>1504</v>
      </c>
      <c r="C45" t="s">
        <v>2059</v>
      </c>
      <c r="D45" t="s">
        <v>2069</v>
      </c>
      <c r="E45" t="s">
        <v>2314</v>
      </c>
      <c r="F45" t="s">
        <v>2413</v>
      </c>
      <c r="G45" t="s">
        <v>2490</v>
      </c>
      <c r="H45" t="s">
        <v>2491</v>
      </c>
      <c r="I45">
        <v>100</v>
      </c>
      <c r="J45" t="s">
        <v>2113</v>
      </c>
      <c r="K45">
        <v>3</v>
      </c>
      <c r="L45">
        <v>1</v>
      </c>
      <c r="M45" t="s">
        <v>8</v>
      </c>
      <c r="N45" t="s">
        <v>2038</v>
      </c>
      <c r="O45" t="s">
        <v>10</v>
      </c>
      <c r="P45" t="s">
        <v>2492</v>
      </c>
    </row>
    <row r="46" spans="1:16" hidden="1" x14ac:dyDescent="0.2">
      <c r="A46" t="s">
        <v>2608</v>
      </c>
      <c r="B46">
        <v>2070</v>
      </c>
      <c r="C46" t="s">
        <v>2059</v>
      </c>
      <c r="D46" t="s">
        <v>2069</v>
      </c>
      <c r="E46" t="s">
        <v>2314</v>
      </c>
      <c r="F46" t="s">
        <v>2413</v>
      </c>
      <c r="G46" t="s">
        <v>2490</v>
      </c>
      <c r="H46" t="s">
        <v>2491</v>
      </c>
      <c r="I46">
        <v>99.447513812154696</v>
      </c>
      <c r="J46" t="s">
        <v>2113</v>
      </c>
      <c r="K46">
        <v>3</v>
      </c>
      <c r="L46">
        <v>1</v>
      </c>
      <c r="M46" t="s">
        <v>8</v>
      </c>
      <c r="N46" t="s">
        <v>2038</v>
      </c>
      <c r="O46" t="s">
        <v>10</v>
      </c>
      <c r="P46" t="s">
        <v>2492</v>
      </c>
    </row>
    <row r="47" spans="1:16" hidden="1" x14ac:dyDescent="0.2">
      <c r="A47" t="s">
        <v>2657</v>
      </c>
      <c r="B47">
        <v>2265</v>
      </c>
      <c r="C47" t="s">
        <v>2059</v>
      </c>
      <c r="D47" t="s">
        <v>2069</v>
      </c>
      <c r="E47" t="s">
        <v>2314</v>
      </c>
      <c r="F47" t="s">
        <v>2413</v>
      </c>
      <c r="G47" t="s">
        <v>2490</v>
      </c>
      <c r="H47" t="s">
        <v>2491</v>
      </c>
      <c r="I47">
        <v>99.447513812154696</v>
      </c>
      <c r="J47" t="s">
        <v>2113</v>
      </c>
      <c r="K47">
        <v>3</v>
      </c>
      <c r="L47">
        <v>1</v>
      </c>
      <c r="M47" t="s">
        <v>8</v>
      </c>
      <c r="N47" t="s">
        <v>2038</v>
      </c>
      <c r="O47" t="s">
        <v>10</v>
      </c>
      <c r="P47" t="s">
        <v>2492</v>
      </c>
    </row>
    <row r="48" spans="1:16" x14ac:dyDescent="0.2">
      <c r="A48" t="s">
        <v>2333</v>
      </c>
      <c r="B48">
        <v>752</v>
      </c>
      <c r="C48" t="s">
        <v>2059</v>
      </c>
      <c r="D48" t="s">
        <v>2066</v>
      </c>
      <c r="E48" t="s">
        <v>2086</v>
      </c>
      <c r="I48">
        <v>90</v>
      </c>
      <c r="J48" t="s">
        <v>2063</v>
      </c>
      <c r="K48">
        <v>1</v>
      </c>
      <c r="L48">
        <v>1</v>
      </c>
      <c r="M48" t="s">
        <v>2051</v>
      </c>
      <c r="N48" t="s">
        <v>2714</v>
      </c>
      <c r="O48" t="s">
        <v>10</v>
      </c>
    </row>
    <row r="49" spans="1:16" hidden="1" x14ac:dyDescent="0.2">
      <c r="A49" t="s">
        <v>2394</v>
      </c>
      <c r="B49">
        <v>1026</v>
      </c>
      <c r="C49" t="s">
        <v>2059</v>
      </c>
      <c r="D49" t="s">
        <v>2069</v>
      </c>
      <c r="E49" t="s">
        <v>2314</v>
      </c>
      <c r="F49" t="s">
        <v>2395</v>
      </c>
      <c r="G49" t="s">
        <v>2396</v>
      </c>
      <c r="H49" t="s">
        <v>2397</v>
      </c>
      <c r="I49">
        <v>100</v>
      </c>
      <c r="J49" t="s">
        <v>2063</v>
      </c>
      <c r="K49">
        <v>27</v>
      </c>
      <c r="L49">
        <v>1</v>
      </c>
      <c r="M49" t="s">
        <v>8</v>
      </c>
      <c r="N49" t="s">
        <v>2037</v>
      </c>
      <c r="O49" t="s">
        <v>10</v>
      </c>
      <c r="P49" t="s">
        <v>2398</v>
      </c>
    </row>
    <row r="50" spans="1:16" hidden="1" x14ac:dyDescent="0.2">
      <c r="A50" t="s">
        <v>2457</v>
      </c>
      <c r="B50">
        <v>1320</v>
      </c>
      <c r="C50" t="s">
        <v>2059</v>
      </c>
      <c r="D50" t="s">
        <v>2069</v>
      </c>
      <c r="E50" t="s">
        <v>2314</v>
      </c>
      <c r="F50" t="s">
        <v>2395</v>
      </c>
      <c r="G50" t="s">
        <v>2396</v>
      </c>
      <c r="H50" t="s">
        <v>2397</v>
      </c>
      <c r="I50">
        <v>99.4444444444444</v>
      </c>
      <c r="J50" t="s">
        <v>2063</v>
      </c>
      <c r="K50">
        <v>27</v>
      </c>
      <c r="L50">
        <v>1</v>
      </c>
      <c r="M50" t="s">
        <v>8</v>
      </c>
      <c r="N50" t="s">
        <v>2037</v>
      </c>
      <c r="O50" t="s">
        <v>10</v>
      </c>
      <c r="P50" t="s">
        <v>2398</v>
      </c>
    </row>
    <row r="51" spans="1:16" hidden="1" x14ac:dyDescent="0.2">
      <c r="A51" t="s">
        <v>2495</v>
      </c>
      <c r="B51">
        <v>1528</v>
      </c>
      <c r="C51" t="s">
        <v>2059</v>
      </c>
      <c r="D51" t="s">
        <v>2069</v>
      </c>
      <c r="E51" t="s">
        <v>2314</v>
      </c>
      <c r="F51" t="s">
        <v>2395</v>
      </c>
      <c r="G51" t="s">
        <v>2396</v>
      </c>
      <c r="H51" t="s">
        <v>2397</v>
      </c>
      <c r="I51">
        <v>99.4444444444444</v>
      </c>
      <c r="J51" t="s">
        <v>2063</v>
      </c>
      <c r="K51">
        <v>27</v>
      </c>
      <c r="L51">
        <v>1</v>
      </c>
      <c r="M51" t="s">
        <v>8</v>
      </c>
      <c r="N51" t="s">
        <v>2037</v>
      </c>
      <c r="O51" t="s">
        <v>10</v>
      </c>
      <c r="P51" t="s">
        <v>2398</v>
      </c>
    </row>
    <row r="52" spans="1:16" x14ac:dyDescent="0.2">
      <c r="A52" t="s">
        <v>2385</v>
      </c>
      <c r="B52">
        <v>980</v>
      </c>
      <c r="C52" t="s">
        <v>2059</v>
      </c>
      <c r="I52">
        <v>90</v>
      </c>
      <c r="J52" t="s">
        <v>2063</v>
      </c>
      <c r="K52">
        <v>1</v>
      </c>
      <c r="L52">
        <v>1</v>
      </c>
      <c r="M52" t="s">
        <v>2049</v>
      </c>
      <c r="N52" t="s">
        <v>2714</v>
      </c>
      <c r="O52" t="s">
        <v>10</v>
      </c>
    </row>
    <row r="53" spans="1:16" x14ac:dyDescent="0.2">
      <c r="A53" t="s">
        <v>2380</v>
      </c>
      <c r="B53">
        <v>963</v>
      </c>
      <c r="C53" t="s">
        <v>2059</v>
      </c>
      <c r="D53" t="s">
        <v>2069</v>
      </c>
      <c r="E53" t="s">
        <v>2070</v>
      </c>
      <c r="F53" t="s">
        <v>127</v>
      </c>
      <c r="I53">
        <v>90.055248618784503</v>
      </c>
      <c r="J53" t="s">
        <v>2063</v>
      </c>
      <c r="K53">
        <v>2</v>
      </c>
      <c r="L53">
        <v>1</v>
      </c>
      <c r="M53" t="s">
        <v>2052</v>
      </c>
      <c r="N53" t="s">
        <v>2714</v>
      </c>
      <c r="O53" t="s">
        <v>10</v>
      </c>
    </row>
    <row r="54" spans="1:16" x14ac:dyDescent="0.2">
      <c r="A54" t="s">
        <v>2551</v>
      </c>
      <c r="B54">
        <v>1819</v>
      </c>
      <c r="C54" t="s">
        <v>2059</v>
      </c>
      <c r="D54" t="s">
        <v>2069</v>
      </c>
      <c r="E54" t="s">
        <v>2070</v>
      </c>
      <c r="F54" t="s">
        <v>127</v>
      </c>
      <c r="I54">
        <v>90.055248618784503</v>
      </c>
      <c r="J54" t="s">
        <v>2063</v>
      </c>
      <c r="K54">
        <v>4</v>
      </c>
      <c r="L54">
        <v>1</v>
      </c>
      <c r="M54" t="s">
        <v>2052</v>
      </c>
      <c r="N54" t="s">
        <v>2714</v>
      </c>
      <c r="O54" t="s">
        <v>10</v>
      </c>
    </row>
    <row r="55" spans="1:16" x14ac:dyDescent="0.2">
      <c r="A55" t="s">
        <v>2514</v>
      </c>
      <c r="B55">
        <v>1572</v>
      </c>
      <c r="C55" t="s">
        <v>2059</v>
      </c>
      <c r="D55" t="s">
        <v>2069</v>
      </c>
      <c r="E55" t="s">
        <v>2070</v>
      </c>
      <c r="F55" t="s">
        <v>2447</v>
      </c>
      <c r="I55">
        <v>90.055248618784503</v>
      </c>
      <c r="J55" t="s">
        <v>2113</v>
      </c>
      <c r="K55">
        <v>1</v>
      </c>
      <c r="L55">
        <v>1</v>
      </c>
      <c r="M55" t="s">
        <v>2052</v>
      </c>
      <c r="N55" t="s">
        <v>2714</v>
      </c>
      <c r="O55" t="s">
        <v>10</v>
      </c>
    </row>
    <row r="56" spans="1:16" x14ac:dyDescent="0.2">
      <c r="A56" t="s">
        <v>2208</v>
      </c>
      <c r="B56">
        <v>314</v>
      </c>
      <c r="C56" t="s">
        <v>2059</v>
      </c>
      <c r="D56" t="s">
        <v>2069</v>
      </c>
      <c r="I56">
        <v>90.055248618784503</v>
      </c>
      <c r="J56" t="s">
        <v>2113</v>
      </c>
      <c r="K56">
        <v>1</v>
      </c>
      <c r="L56">
        <v>1</v>
      </c>
      <c r="M56" t="s">
        <v>2050</v>
      </c>
      <c r="N56" t="s">
        <v>2714</v>
      </c>
      <c r="O56" t="s">
        <v>10</v>
      </c>
    </row>
    <row r="57" spans="1:16" x14ac:dyDescent="0.2">
      <c r="A57" t="s">
        <v>2126</v>
      </c>
      <c r="B57">
        <v>84</v>
      </c>
      <c r="C57" t="s">
        <v>2059</v>
      </c>
      <c r="D57" t="s">
        <v>2069</v>
      </c>
      <c r="E57" t="s">
        <v>2127</v>
      </c>
      <c r="F57" t="s">
        <v>2128</v>
      </c>
      <c r="I57">
        <v>90.090090090090101</v>
      </c>
      <c r="J57" t="s">
        <v>2063</v>
      </c>
      <c r="K57">
        <v>1</v>
      </c>
      <c r="L57">
        <v>1</v>
      </c>
      <c r="M57" t="s">
        <v>2052</v>
      </c>
      <c r="N57" t="s">
        <v>2714</v>
      </c>
      <c r="O57" t="s">
        <v>10</v>
      </c>
    </row>
    <row r="58" spans="1:16" x14ac:dyDescent="0.2">
      <c r="A58" t="s">
        <v>2422</v>
      </c>
      <c r="B58">
        <v>1148</v>
      </c>
      <c r="C58" t="s">
        <v>2059</v>
      </c>
      <c r="D58" t="s">
        <v>2069</v>
      </c>
      <c r="I58">
        <v>90.109890109890102</v>
      </c>
      <c r="J58" t="s">
        <v>2063</v>
      </c>
      <c r="K58">
        <v>1</v>
      </c>
      <c r="L58">
        <v>1</v>
      </c>
      <c r="M58" t="s">
        <v>2050</v>
      </c>
      <c r="N58" t="s">
        <v>2714</v>
      </c>
      <c r="O58" t="s">
        <v>10</v>
      </c>
    </row>
    <row r="59" spans="1:16" x14ac:dyDescent="0.2">
      <c r="A59" t="s">
        <v>2133</v>
      </c>
      <c r="B59">
        <v>108</v>
      </c>
      <c r="C59" t="s">
        <v>2059</v>
      </c>
      <c r="I59">
        <v>90.109890109890102</v>
      </c>
      <c r="J59" t="s">
        <v>2063</v>
      </c>
      <c r="K59">
        <v>1</v>
      </c>
      <c r="L59">
        <v>1</v>
      </c>
      <c r="M59" t="s">
        <v>2049</v>
      </c>
      <c r="N59" t="s">
        <v>2714</v>
      </c>
      <c r="O59" t="s">
        <v>10</v>
      </c>
    </row>
    <row r="60" spans="1:16" x14ac:dyDescent="0.2">
      <c r="A60" t="s">
        <v>1797</v>
      </c>
      <c r="B60">
        <v>2214</v>
      </c>
      <c r="C60" t="s">
        <v>2059</v>
      </c>
      <c r="D60" t="s">
        <v>2066</v>
      </c>
      <c r="E60" t="s">
        <v>2086</v>
      </c>
      <c r="F60" t="s">
        <v>2100</v>
      </c>
      <c r="I60">
        <v>90.131578947368396</v>
      </c>
      <c r="J60" t="s">
        <v>2063</v>
      </c>
      <c r="K60">
        <v>3</v>
      </c>
      <c r="L60">
        <v>0.6</v>
      </c>
      <c r="M60" t="s">
        <v>2052</v>
      </c>
      <c r="N60" t="s">
        <v>2714</v>
      </c>
      <c r="O60" t="s">
        <v>10</v>
      </c>
    </row>
    <row r="61" spans="1:16" x14ac:dyDescent="0.2">
      <c r="A61" t="s">
        <v>2194</v>
      </c>
      <c r="B61">
        <v>281</v>
      </c>
      <c r="C61" t="s">
        <v>2059</v>
      </c>
      <c r="I61">
        <v>90.163934426229503</v>
      </c>
      <c r="J61" t="s">
        <v>2063</v>
      </c>
      <c r="K61">
        <v>1</v>
      </c>
      <c r="L61">
        <v>1</v>
      </c>
      <c r="M61" t="s">
        <v>2049</v>
      </c>
      <c r="N61" t="s">
        <v>2714</v>
      </c>
      <c r="O61" t="s">
        <v>10</v>
      </c>
    </row>
    <row r="62" spans="1:16" x14ac:dyDescent="0.2">
      <c r="A62" t="s">
        <v>2466</v>
      </c>
      <c r="B62">
        <v>1379</v>
      </c>
      <c r="C62" t="s">
        <v>2059</v>
      </c>
      <c r="D62" t="s">
        <v>2066</v>
      </c>
      <c r="E62" t="s">
        <v>2079</v>
      </c>
      <c r="F62" t="s">
        <v>159</v>
      </c>
      <c r="I62">
        <v>90.178571428571402</v>
      </c>
      <c r="J62" t="s">
        <v>2063</v>
      </c>
      <c r="K62">
        <v>15</v>
      </c>
      <c r="L62">
        <v>0.88235294117647001</v>
      </c>
      <c r="M62" t="s">
        <v>2052</v>
      </c>
      <c r="N62" t="s">
        <v>2714</v>
      </c>
      <c r="O62" t="s">
        <v>10</v>
      </c>
    </row>
    <row r="63" spans="1:16" hidden="1" x14ac:dyDescent="0.2">
      <c r="A63" t="s">
        <v>306</v>
      </c>
      <c r="B63">
        <v>217</v>
      </c>
      <c r="C63" t="s">
        <v>2059</v>
      </c>
      <c r="D63" t="s">
        <v>2069</v>
      </c>
      <c r="E63" t="s">
        <v>2070</v>
      </c>
      <c r="F63" t="s">
        <v>2169</v>
      </c>
      <c r="G63" t="s">
        <v>2170</v>
      </c>
      <c r="H63" t="s">
        <v>2171</v>
      </c>
      <c r="I63">
        <v>100</v>
      </c>
      <c r="J63" t="s">
        <v>2113</v>
      </c>
      <c r="K63">
        <v>3</v>
      </c>
      <c r="L63">
        <v>1</v>
      </c>
      <c r="M63" t="s">
        <v>8</v>
      </c>
      <c r="N63" t="s">
        <v>2038</v>
      </c>
      <c r="O63" t="s">
        <v>10</v>
      </c>
      <c r="P63" t="s">
        <v>2172</v>
      </c>
    </row>
    <row r="64" spans="1:16" hidden="1" x14ac:dyDescent="0.2">
      <c r="A64" t="s">
        <v>616</v>
      </c>
      <c r="B64">
        <v>621</v>
      </c>
      <c r="C64" t="s">
        <v>2059</v>
      </c>
      <c r="D64" t="s">
        <v>2069</v>
      </c>
      <c r="E64" t="s">
        <v>2070</v>
      </c>
      <c r="F64" t="s">
        <v>2169</v>
      </c>
      <c r="G64" t="s">
        <v>2170</v>
      </c>
      <c r="H64" t="s">
        <v>2171</v>
      </c>
      <c r="I64">
        <v>99.447513812154696</v>
      </c>
      <c r="J64" t="s">
        <v>2113</v>
      </c>
      <c r="K64">
        <v>3</v>
      </c>
      <c r="L64">
        <v>1</v>
      </c>
      <c r="M64" t="s">
        <v>8</v>
      </c>
      <c r="N64" t="s">
        <v>2038</v>
      </c>
      <c r="O64" t="s">
        <v>10</v>
      </c>
      <c r="P64" t="s">
        <v>2172</v>
      </c>
    </row>
    <row r="65" spans="1:16" hidden="1" x14ac:dyDescent="0.2">
      <c r="A65" t="s">
        <v>1470</v>
      </c>
      <c r="B65">
        <v>1810</v>
      </c>
      <c r="C65" t="s">
        <v>2059</v>
      </c>
      <c r="D65" t="s">
        <v>2069</v>
      </c>
      <c r="E65" t="s">
        <v>2070</v>
      </c>
      <c r="F65" t="s">
        <v>2169</v>
      </c>
      <c r="G65" t="s">
        <v>2170</v>
      </c>
      <c r="H65" t="s">
        <v>2171</v>
      </c>
      <c r="I65">
        <v>100</v>
      </c>
      <c r="J65" t="s">
        <v>2113</v>
      </c>
      <c r="K65">
        <v>1</v>
      </c>
      <c r="L65">
        <v>1</v>
      </c>
      <c r="M65" t="s">
        <v>8</v>
      </c>
      <c r="N65" t="s">
        <v>2038</v>
      </c>
      <c r="O65" t="s">
        <v>10</v>
      </c>
      <c r="P65" t="s">
        <v>2172</v>
      </c>
    </row>
    <row r="66" spans="1:16" x14ac:dyDescent="0.2">
      <c r="A66" t="s">
        <v>1977</v>
      </c>
      <c r="B66">
        <v>2502</v>
      </c>
      <c r="C66" t="s">
        <v>2059</v>
      </c>
      <c r="I66">
        <v>90.2173913043478</v>
      </c>
      <c r="J66" t="s">
        <v>2063</v>
      </c>
      <c r="K66">
        <v>1</v>
      </c>
      <c r="L66">
        <v>1</v>
      </c>
      <c r="M66" t="s">
        <v>2049</v>
      </c>
      <c r="N66" t="s">
        <v>2714</v>
      </c>
      <c r="O66" t="s">
        <v>10</v>
      </c>
    </row>
    <row r="67" spans="1:16" x14ac:dyDescent="0.2">
      <c r="A67" t="s">
        <v>2601</v>
      </c>
      <c r="B67">
        <v>2035</v>
      </c>
      <c r="C67" t="s">
        <v>2059</v>
      </c>
      <c r="I67">
        <v>90.270270270270302</v>
      </c>
      <c r="J67" t="s">
        <v>2063</v>
      </c>
      <c r="K67">
        <v>1</v>
      </c>
      <c r="L67">
        <v>1</v>
      </c>
      <c r="M67" t="s">
        <v>2049</v>
      </c>
      <c r="N67" t="s">
        <v>2714</v>
      </c>
      <c r="O67" t="s">
        <v>10</v>
      </c>
    </row>
    <row r="68" spans="1:16" x14ac:dyDescent="0.2">
      <c r="A68" t="s">
        <v>2648</v>
      </c>
      <c r="B68">
        <v>2228</v>
      </c>
      <c r="C68" t="s">
        <v>2059</v>
      </c>
      <c r="I68">
        <v>90.270270270270302</v>
      </c>
      <c r="J68" t="s">
        <v>2063</v>
      </c>
      <c r="K68">
        <v>1</v>
      </c>
      <c r="L68">
        <v>1</v>
      </c>
      <c r="M68" t="s">
        <v>2049</v>
      </c>
      <c r="N68" t="s">
        <v>2714</v>
      </c>
      <c r="O68" t="s">
        <v>10</v>
      </c>
    </row>
    <row r="69" spans="1:16" x14ac:dyDescent="0.2">
      <c r="A69" t="s">
        <v>2163</v>
      </c>
      <c r="B69">
        <v>191</v>
      </c>
      <c r="C69" t="s">
        <v>2059</v>
      </c>
      <c r="D69" t="s">
        <v>2066</v>
      </c>
      <c r="E69" t="s">
        <v>2091</v>
      </c>
      <c r="I69">
        <v>90.322580645161295</v>
      </c>
      <c r="J69" t="s">
        <v>2063</v>
      </c>
      <c r="K69">
        <v>1</v>
      </c>
      <c r="L69">
        <v>1</v>
      </c>
      <c r="M69" t="s">
        <v>2051</v>
      </c>
      <c r="N69" t="s">
        <v>2714</v>
      </c>
      <c r="O69" t="s">
        <v>10</v>
      </c>
    </row>
    <row r="70" spans="1:16" x14ac:dyDescent="0.2">
      <c r="A70" t="s">
        <v>234</v>
      </c>
      <c r="B70">
        <v>166</v>
      </c>
      <c r="C70" t="s">
        <v>2059</v>
      </c>
      <c r="D70" t="s">
        <v>2066</v>
      </c>
      <c r="E70" t="s">
        <v>2079</v>
      </c>
      <c r="F70" t="s">
        <v>79</v>
      </c>
      <c r="I70">
        <v>90.340909090909093</v>
      </c>
      <c r="J70" t="s">
        <v>2063</v>
      </c>
      <c r="K70">
        <v>21</v>
      </c>
      <c r="L70">
        <v>0.56756756756756799</v>
      </c>
      <c r="M70" t="s">
        <v>2052</v>
      </c>
      <c r="N70" t="s">
        <v>2714</v>
      </c>
      <c r="O70" t="s">
        <v>10</v>
      </c>
    </row>
    <row r="71" spans="1:16" x14ac:dyDescent="0.2">
      <c r="A71" t="s">
        <v>2582</v>
      </c>
      <c r="B71">
        <v>1957</v>
      </c>
      <c r="C71" t="s">
        <v>2059</v>
      </c>
      <c r="D71" t="s">
        <v>2066</v>
      </c>
      <c r="E71" t="s">
        <v>2067</v>
      </c>
      <c r="F71" t="s">
        <v>276</v>
      </c>
      <c r="I71">
        <v>90.340909090909093</v>
      </c>
      <c r="J71" t="s">
        <v>2063</v>
      </c>
      <c r="K71">
        <v>2</v>
      </c>
      <c r="L71">
        <v>1</v>
      </c>
      <c r="M71" t="s">
        <v>2052</v>
      </c>
      <c r="N71" t="s">
        <v>2714</v>
      </c>
      <c r="O71" t="s">
        <v>10</v>
      </c>
    </row>
    <row r="72" spans="1:16" x14ac:dyDescent="0.2">
      <c r="A72" t="s">
        <v>2207</v>
      </c>
      <c r="B72">
        <v>307</v>
      </c>
      <c r="C72" t="s">
        <v>2059</v>
      </c>
      <c r="D72" t="s">
        <v>2066</v>
      </c>
      <c r="E72" t="s">
        <v>2080</v>
      </c>
      <c r="I72">
        <v>90.374331550802097</v>
      </c>
      <c r="J72" t="s">
        <v>2063</v>
      </c>
      <c r="K72">
        <v>1</v>
      </c>
      <c r="L72">
        <v>1</v>
      </c>
      <c r="M72" t="s">
        <v>2051</v>
      </c>
      <c r="N72" t="s">
        <v>2714</v>
      </c>
      <c r="O72" t="s">
        <v>10</v>
      </c>
    </row>
    <row r="73" spans="1:16" x14ac:dyDescent="0.2">
      <c r="A73" t="s">
        <v>2341</v>
      </c>
      <c r="B73">
        <v>803</v>
      </c>
      <c r="C73" t="s">
        <v>2059</v>
      </c>
      <c r="D73" t="s">
        <v>2066</v>
      </c>
      <c r="E73" t="s">
        <v>2080</v>
      </c>
      <c r="I73">
        <v>90.374331550802097</v>
      </c>
      <c r="J73" t="s">
        <v>2063</v>
      </c>
      <c r="K73">
        <v>1</v>
      </c>
      <c r="L73">
        <v>1</v>
      </c>
      <c r="M73" t="s">
        <v>2051</v>
      </c>
      <c r="N73" t="s">
        <v>2714</v>
      </c>
      <c r="O73" t="s">
        <v>10</v>
      </c>
    </row>
    <row r="74" spans="1:16" x14ac:dyDescent="0.2">
      <c r="A74" t="s">
        <v>2154</v>
      </c>
      <c r="B74">
        <v>164</v>
      </c>
      <c r="C74" t="s">
        <v>2059</v>
      </c>
      <c r="D74" t="s">
        <v>2066</v>
      </c>
      <c r="E74" t="s">
        <v>2080</v>
      </c>
      <c r="F74" t="s">
        <v>2081</v>
      </c>
      <c r="I74">
        <v>90.384615384615401</v>
      </c>
      <c r="J74" t="s">
        <v>2063</v>
      </c>
      <c r="K74">
        <v>4</v>
      </c>
      <c r="L74">
        <v>1</v>
      </c>
      <c r="M74" t="s">
        <v>2052</v>
      </c>
      <c r="N74" t="s">
        <v>2714</v>
      </c>
      <c r="O74" t="s">
        <v>2040</v>
      </c>
    </row>
    <row r="75" spans="1:16" x14ac:dyDescent="0.2">
      <c r="A75" t="s">
        <v>1118</v>
      </c>
      <c r="B75">
        <v>1322</v>
      </c>
      <c r="C75" t="s">
        <v>2059</v>
      </c>
      <c r="I75">
        <v>90.384615384615401</v>
      </c>
      <c r="J75" t="s">
        <v>2063</v>
      </c>
      <c r="K75">
        <v>1</v>
      </c>
      <c r="L75">
        <v>1</v>
      </c>
      <c r="M75" t="s">
        <v>2049</v>
      </c>
      <c r="N75" t="s">
        <v>2714</v>
      </c>
      <c r="O75" t="s">
        <v>10</v>
      </c>
    </row>
    <row r="76" spans="1:16" x14ac:dyDescent="0.2">
      <c r="A76" t="s">
        <v>2239</v>
      </c>
      <c r="B76">
        <v>414</v>
      </c>
      <c r="C76" t="s">
        <v>2059</v>
      </c>
      <c r="D76" t="s">
        <v>2066</v>
      </c>
      <c r="E76" t="s">
        <v>2067</v>
      </c>
      <c r="F76" t="s">
        <v>276</v>
      </c>
      <c r="I76">
        <v>90.395480225988706</v>
      </c>
      <c r="J76" t="s">
        <v>2063</v>
      </c>
      <c r="K76">
        <v>6</v>
      </c>
      <c r="L76">
        <v>1</v>
      </c>
      <c r="M76" t="s">
        <v>2052</v>
      </c>
      <c r="N76" t="s">
        <v>2714</v>
      </c>
      <c r="O76" t="s">
        <v>10</v>
      </c>
    </row>
    <row r="77" spans="1:16" x14ac:dyDescent="0.2">
      <c r="A77" t="s">
        <v>2276</v>
      </c>
      <c r="B77">
        <v>560</v>
      </c>
      <c r="C77" t="s">
        <v>2059</v>
      </c>
      <c r="D77" t="s">
        <v>2066</v>
      </c>
      <c r="E77" t="s">
        <v>2086</v>
      </c>
      <c r="F77" t="s">
        <v>2277</v>
      </c>
      <c r="I77">
        <v>90.395480225988706</v>
      </c>
      <c r="J77" t="s">
        <v>2063</v>
      </c>
      <c r="K77">
        <v>34</v>
      </c>
      <c r="L77">
        <v>0.94444444444444398</v>
      </c>
      <c r="M77" t="s">
        <v>2052</v>
      </c>
      <c r="N77" t="s">
        <v>2714</v>
      </c>
      <c r="O77" t="s">
        <v>10</v>
      </c>
    </row>
    <row r="78" spans="1:16" x14ac:dyDescent="0.2">
      <c r="A78" t="s">
        <v>2459</v>
      </c>
      <c r="B78">
        <v>1334</v>
      </c>
      <c r="C78" t="s">
        <v>2059</v>
      </c>
      <c r="D78" t="s">
        <v>2069</v>
      </c>
      <c r="E78" t="s">
        <v>2314</v>
      </c>
      <c r="F78" t="s">
        <v>2460</v>
      </c>
      <c r="I78">
        <v>90.5555555555556</v>
      </c>
      <c r="J78" t="s">
        <v>2063</v>
      </c>
      <c r="K78">
        <v>4</v>
      </c>
      <c r="L78">
        <v>0.57142857142857095</v>
      </c>
      <c r="M78" t="s">
        <v>2052</v>
      </c>
      <c r="N78" t="s">
        <v>2714</v>
      </c>
      <c r="O78" t="s">
        <v>10</v>
      </c>
    </row>
    <row r="79" spans="1:16" x14ac:dyDescent="0.2">
      <c r="A79" t="s">
        <v>2530</v>
      </c>
      <c r="B79">
        <v>1641</v>
      </c>
      <c r="C79" t="s">
        <v>2059</v>
      </c>
      <c r="D79" t="s">
        <v>2069</v>
      </c>
      <c r="E79" t="s">
        <v>2070</v>
      </c>
      <c r="F79" t="s">
        <v>2173</v>
      </c>
      <c r="I79">
        <v>90.5555555555556</v>
      </c>
      <c r="J79" t="s">
        <v>2063</v>
      </c>
      <c r="K79">
        <v>2</v>
      </c>
      <c r="L79">
        <v>1</v>
      </c>
      <c r="M79" t="s">
        <v>2052</v>
      </c>
      <c r="N79" t="s">
        <v>2714</v>
      </c>
      <c r="O79" t="s">
        <v>10</v>
      </c>
    </row>
    <row r="80" spans="1:16" x14ac:dyDescent="0.2">
      <c r="A80" t="s">
        <v>2102</v>
      </c>
      <c r="B80">
        <v>38</v>
      </c>
      <c r="C80" t="s">
        <v>2059</v>
      </c>
      <c r="D80" t="s">
        <v>2069</v>
      </c>
      <c r="E80" t="s">
        <v>2070</v>
      </c>
      <c r="F80" t="s">
        <v>127</v>
      </c>
      <c r="I80">
        <v>90.5555555555556</v>
      </c>
      <c r="J80" t="s">
        <v>2063</v>
      </c>
      <c r="K80">
        <v>2</v>
      </c>
      <c r="L80">
        <v>1</v>
      </c>
      <c r="M80" t="s">
        <v>2052</v>
      </c>
      <c r="N80" t="s">
        <v>2714</v>
      </c>
      <c r="O80" t="s">
        <v>10</v>
      </c>
    </row>
    <row r="81" spans="1:16" x14ac:dyDescent="0.2">
      <c r="A81" t="s">
        <v>2161</v>
      </c>
      <c r="B81">
        <v>186</v>
      </c>
      <c r="C81" t="s">
        <v>2059</v>
      </c>
      <c r="D81" t="s">
        <v>2066</v>
      </c>
      <c r="E81" t="s">
        <v>2067</v>
      </c>
      <c r="F81" t="s">
        <v>2072</v>
      </c>
      <c r="I81">
        <v>90.5555555555556</v>
      </c>
      <c r="J81" t="s">
        <v>2063</v>
      </c>
      <c r="K81">
        <v>55</v>
      </c>
      <c r="L81">
        <v>1</v>
      </c>
      <c r="M81" t="s">
        <v>2052</v>
      </c>
      <c r="N81" t="s">
        <v>2714</v>
      </c>
      <c r="O81" t="s">
        <v>10</v>
      </c>
    </row>
    <row r="82" spans="1:16" hidden="1" x14ac:dyDescent="0.2">
      <c r="A82" t="s">
        <v>402</v>
      </c>
      <c r="B82">
        <v>317</v>
      </c>
      <c r="C82" t="s">
        <v>2059</v>
      </c>
      <c r="D82" t="s">
        <v>2069</v>
      </c>
      <c r="E82" t="s">
        <v>2070</v>
      </c>
      <c r="F82" t="s">
        <v>2173</v>
      </c>
      <c r="G82" t="s">
        <v>310</v>
      </c>
      <c r="H82" t="s">
        <v>2211</v>
      </c>
      <c r="I82">
        <v>97.237569060773495</v>
      </c>
      <c r="J82" t="s">
        <v>2063</v>
      </c>
      <c r="K82">
        <v>2</v>
      </c>
      <c r="L82">
        <v>1</v>
      </c>
      <c r="M82" t="s">
        <v>8</v>
      </c>
      <c r="N82" t="s">
        <v>2038</v>
      </c>
      <c r="O82" t="s">
        <v>10</v>
      </c>
      <c r="P82" t="s">
        <v>2212</v>
      </c>
    </row>
    <row r="83" spans="1:16" hidden="1" x14ac:dyDescent="0.2">
      <c r="A83" t="s">
        <v>309</v>
      </c>
      <c r="B83">
        <v>223</v>
      </c>
      <c r="C83" t="s">
        <v>2059</v>
      </c>
      <c r="D83" t="s">
        <v>2069</v>
      </c>
      <c r="E83" t="s">
        <v>2070</v>
      </c>
      <c r="F83" t="s">
        <v>2173</v>
      </c>
      <c r="G83" t="s">
        <v>310</v>
      </c>
      <c r="H83" t="s">
        <v>311</v>
      </c>
      <c r="I83">
        <v>100</v>
      </c>
      <c r="J83" t="s">
        <v>2063</v>
      </c>
      <c r="K83">
        <v>2</v>
      </c>
      <c r="L83">
        <v>1</v>
      </c>
      <c r="M83" t="s">
        <v>8</v>
      </c>
      <c r="N83" t="s">
        <v>2038</v>
      </c>
      <c r="O83" t="s">
        <v>10</v>
      </c>
      <c r="P83" t="s">
        <v>2174</v>
      </c>
    </row>
    <row r="84" spans="1:16" hidden="1" x14ac:dyDescent="0.2">
      <c r="A84" t="s">
        <v>516</v>
      </c>
      <c r="B84">
        <v>495</v>
      </c>
      <c r="C84" t="s">
        <v>2059</v>
      </c>
      <c r="D84" t="s">
        <v>2069</v>
      </c>
      <c r="E84" t="s">
        <v>2070</v>
      </c>
      <c r="F84" t="s">
        <v>2173</v>
      </c>
      <c r="G84" t="s">
        <v>310</v>
      </c>
      <c r="H84" t="s">
        <v>311</v>
      </c>
      <c r="I84">
        <v>99.447513812154696</v>
      </c>
      <c r="J84" t="s">
        <v>2063</v>
      </c>
      <c r="K84">
        <v>2</v>
      </c>
      <c r="L84">
        <v>1</v>
      </c>
      <c r="M84" t="s">
        <v>8</v>
      </c>
      <c r="N84" t="s">
        <v>2038</v>
      </c>
      <c r="O84" t="s">
        <v>10</v>
      </c>
      <c r="P84" t="s">
        <v>2257</v>
      </c>
    </row>
    <row r="85" spans="1:16" hidden="1" x14ac:dyDescent="0.2">
      <c r="A85" t="s">
        <v>843</v>
      </c>
      <c r="B85">
        <v>902</v>
      </c>
      <c r="C85" t="s">
        <v>2059</v>
      </c>
      <c r="D85" t="s">
        <v>2069</v>
      </c>
      <c r="E85" t="s">
        <v>2070</v>
      </c>
      <c r="F85" t="s">
        <v>2173</v>
      </c>
      <c r="G85" t="s">
        <v>310</v>
      </c>
      <c r="H85" t="s">
        <v>311</v>
      </c>
      <c r="I85">
        <v>99.447513812154696</v>
      </c>
      <c r="J85" t="s">
        <v>2063</v>
      </c>
      <c r="K85">
        <v>1</v>
      </c>
      <c r="L85">
        <v>1</v>
      </c>
      <c r="M85" t="s">
        <v>8</v>
      </c>
      <c r="N85" t="s">
        <v>2038</v>
      </c>
      <c r="O85" t="s">
        <v>10</v>
      </c>
      <c r="P85" t="s">
        <v>2174</v>
      </c>
    </row>
    <row r="86" spans="1:16" hidden="1" x14ac:dyDescent="0.2">
      <c r="A86" t="s">
        <v>1054</v>
      </c>
      <c r="B86">
        <v>1251</v>
      </c>
      <c r="C86" t="s">
        <v>2059</v>
      </c>
      <c r="D86" t="s">
        <v>2069</v>
      </c>
      <c r="E86" t="s">
        <v>2070</v>
      </c>
      <c r="F86" t="s">
        <v>2173</v>
      </c>
      <c r="G86" t="s">
        <v>310</v>
      </c>
      <c r="H86" t="s">
        <v>311</v>
      </c>
      <c r="I86">
        <v>99.447513812154696</v>
      </c>
      <c r="J86" t="s">
        <v>2063</v>
      </c>
      <c r="K86">
        <v>1</v>
      </c>
      <c r="L86">
        <v>1</v>
      </c>
      <c r="M86" t="s">
        <v>8</v>
      </c>
      <c r="N86" t="s">
        <v>2038</v>
      </c>
      <c r="O86" t="s">
        <v>10</v>
      </c>
      <c r="P86" t="s">
        <v>2257</v>
      </c>
    </row>
    <row r="87" spans="1:16" hidden="1" x14ac:dyDescent="0.2">
      <c r="A87" t="s">
        <v>1107</v>
      </c>
      <c r="B87">
        <v>1308</v>
      </c>
      <c r="C87" t="s">
        <v>2059</v>
      </c>
      <c r="D87" t="s">
        <v>2069</v>
      </c>
      <c r="E87" t="s">
        <v>2070</v>
      </c>
      <c r="F87" t="s">
        <v>2173</v>
      </c>
      <c r="G87" t="s">
        <v>310</v>
      </c>
      <c r="H87" t="s">
        <v>311</v>
      </c>
      <c r="I87">
        <v>100</v>
      </c>
      <c r="J87" t="s">
        <v>2063</v>
      </c>
      <c r="K87">
        <v>2</v>
      </c>
      <c r="L87">
        <v>1</v>
      </c>
      <c r="M87" t="s">
        <v>8</v>
      </c>
      <c r="N87" t="s">
        <v>2038</v>
      </c>
      <c r="O87" t="s">
        <v>10</v>
      </c>
      <c r="P87" t="s">
        <v>2257</v>
      </c>
    </row>
    <row r="88" spans="1:16" hidden="1" x14ac:dyDescent="0.2">
      <c r="A88" t="s">
        <v>1416</v>
      </c>
      <c r="B88">
        <v>1700</v>
      </c>
      <c r="C88" t="s">
        <v>2059</v>
      </c>
      <c r="D88" t="s">
        <v>2069</v>
      </c>
      <c r="E88" t="s">
        <v>2070</v>
      </c>
      <c r="F88" t="s">
        <v>2173</v>
      </c>
      <c r="G88" t="s">
        <v>310</v>
      </c>
      <c r="H88" t="s">
        <v>311</v>
      </c>
      <c r="I88">
        <v>98.8888888888889</v>
      </c>
      <c r="J88" t="s">
        <v>2063</v>
      </c>
      <c r="K88">
        <v>1</v>
      </c>
      <c r="L88">
        <v>1</v>
      </c>
      <c r="M88" t="s">
        <v>8</v>
      </c>
      <c r="N88" t="s">
        <v>2038</v>
      </c>
      <c r="O88" t="s">
        <v>10</v>
      </c>
      <c r="P88" t="s">
        <v>2174</v>
      </c>
    </row>
    <row r="89" spans="1:16" hidden="1" x14ac:dyDescent="0.2">
      <c r="A89" t="s">
        <v>1537</v>
      </c>
      <c r="B89">
        <v>1887</v>
      </c>
      <c r="C89" t="s">
        <v>2059</v>
      </c>
      <c r="D89" t="s">
        <v>2069</v>
      </c>
      <c r="E89" t="s">
        <v>2070</v>
      </c>
      <c r="F89" t="s">
        <v>2173</v>
      </c>
      <c r="G89" t="s">
        <v>310</v>
      </c>
      <c r="H89" t="s">
        <v>311</v>
      </c>
      <c r="I89">
        <v>97.2222222222222</v>
      </c>
      <c r="J89" t="s">
        <v>2063</v>
      </c>
      <c r="K89">
        <v>1</v>
      </c>
      <c r="L89">
        <v>1</v>
      </c>
      <c r="M89" t="s">
        <v>8</v>
      </c>
      <c r="N89" t="s">
        <v>2038</v>
      </c>
      <c r="O89" t="s">
        <v>10</v>
      </c>
      <c r="P89" t="s">
        <v>2257</v>
      </c>
    </row>
    <row r="90" spans="1:16" x14ac:dyDescent="0.2">
      <c r="A90" t="s">
        <v>2104</v>
      </c>
      <c r="B90">
        <v>43</v>
      </c>
      <c r="C90" t="s">
        <v>2059</v>
      </c>
      <c r="D90" t="s">
        <v>2069</v>
      </c>
      <c r="E90" t="s">
        <v>2070</v>
      </c>
      <c r="F90" t="s">
        <v>127</v>
      </c>
      <c r="I90">
        <v>90.607734806629793</v>
      </c>
      <c r="J90" t="s">
        <v>2063</v>
      </c>
      <c r="K90">
        <v>3</v>
      </c>
      <c r="L90">
        <v>1</v>
      </c>
      <c r="M90" t="s">
        <v>2052</v>
      </c>
      <c r="N90" t="s">
        <v>2714</v>
      </c>
      <c r="O90" t="s">
        <v>10</v>
      </c>
    </row>
    <row r="91" spans="1:16" hidden="1" x14ac:dyDescent="0.2">
      <c r="A91" t="s">
        <v>692</v>
      </c>
      <c r="B91">
        <v>696</v>
      </c>
      <c r="C91" t="s">
        <v>2059</v>
      </c>
      <c r="D91" t="s">
        <v>2069</v>
      </c>
      <c r="E91" t="s">
        <v>2070</v>
      </c>
      <c r="F91" t="s">
        <v>2267</v>
      </c>
      <c r="G91" t="s">
        <v>548</v>
      </c>
      <c r="H91" t="s">
        <v>2323</v>
      </c>
      <c r="I91">
        <v>98.8888888888889</v>
      </c>
      <c r="J91" t="s">
        <v>2063</v>
      </c>
      <c r="K91">
        <v>2</v>
      </c>
      <c r="L91">
        <v>1</v>
      </c>
      <c r="M91" t="s">
        <v>8</v>
      </c>
      <c r="N91" t="s">
        <v>2038</v>
      </c>
      <c r="O91" t="s">
        <v>10</v>
      </c>
      <c r="P91" t="s">
        <v>2324</v>
      </c>
    </row>
    <row r="92" spans="1:16" hidden="1" x14ac:dyDescent="0.2">
      <c r="A92" t="s">
        <v>546</v>
      </c>
      <c r="B92">
        <v>537</v>
      </c>
      <c r="C92" t="s">
        <v>2059</v>
      </c>
      <c r="D92" t="s">
        <v>2069</v>
      </c>
      <c r="E92" t="s">
        <v>2070</v>
      </c>
      <c r="F92" t="s">
        <v>2267</v>
      </c>
      <c r="G92" t="s">
        <v>548</v>
      </c>
      <c r="H92" t="s">
        <v>2268</v>
      </c>
      <c r="I92">
        <v>100</v>
      </c>
      <c r="J92" t="s">
        <v>2113</v>
      </c>
      <c r="K92">
        <v>33</v>
      </c>
      <c r="L92">
        <v>1</v>
      </c>
      <c r="M92" t="s">
        <v>8</v>
      </c>
      <c r="N92" t="s">
        <v>2038</v>
      </c>
      <c r="O92" t="s">
        <v>10</v>
      </c>
      <c r="P92" t="s">
        <v>2269</v>
      </c>
    </row>
    <row r="93" spans="1:16" hidden="1" x14ac:dyDescent="0.2">
      <c r="A93" t="s">
        <v>2619</v>
      </c>
      <c r="B93">
        <v>2132</v>
      </c>
      <c r="C93" t="s">
        <v>2059</v>
      </c>
      <c r="D93" t="s">
        <v>2069</v>
      </c>
      <c r="E93" t="s">
        <v>2070</v>
      </c>
      <c r="F93" t="s">
        <v>127</v>
      </c>
      <c r="G93" t="s">
        <v>2620</v>
      </c>
      <c r="I93">
        <v>96.685082872928206</v>
      </c>
      <c r="J93" t="s">
        <v>2063</v>
      </c>
      <c r="K93">
        <v>5</v>
      </c>
      <c r="L93">
        <v>1</v>
      </c>
      <c r="M93" t="s">
        <v>7</v>
      </c>
      <c r="N93" t="s">
        <v>2038</v>
      </c>
      <c r="O93" t="s">
        <v>10</v>
      </c>
    </row>
    <row r="94" spans="1:16" hidden="1" x14ac:dyDescent="0.2">
      <c r="A94" t="s">
        <v>2692</v>
      </c>
      <c r="B94">
        <v>2435</v>
      </c>
      <c r="C94" t="s">
        <v>2059</v>
      </c>
      <c r="D94" t="s">
        <v>2069</v>
      </c>
      <c r="E94" t="s">
        <v>2070</v>
      </c>
      <c r="F94" t="s">
        <v>127</v>
      </c>
      <c r="G94" t="s">
        <v>2620</v>
      </c>
      <c r="I94">
        <v>97.237569060773495</v>
      </c>
      <c r="J94" t="s">
        <v>2063</v>
      </c>
      <c r="K94">
        <v>5</v>
      </c>
      <c r="L94">
        <v>1</v>
      </c>
      <c r="M94" t="s">
        <v>7</v>
      </c>
      <c r="N94" t="s">
        <v>2038</v>
      </c>
      <c r="O94" t="s">
        <v>10</v>
      </c>
    </row>
    <row r="95" spans="1:16" x14ac:dyDescent="0.2">
      <c r="A95" t="s">
        <v>2192</v>
      </c>
      <c r="B95">
        <v>274</v>
      </c>
      <c r="C95" t="s">
        <v>2059</v>
      </c>
      <c r="D95" t="s">
        <v>2069</v>
      </c>
      <c r="E95" t="s">
        <v>2070</v>
      </c>
      <c r="F95" t="s">
        <v>127</v>
      </c>
      <c r="I95">
        <v>90.607734806629793</v>
      </c>
      <c r="J95" t="s">
        <v>2063</v>
      </c>
      <c r="K95">
        <v>2</v>
      </c>
      <c r="L95">
        <v>1</v>
      </c>
      <c r="M95" t="s">
        <v>2052</v>
      </c>
      <c r="N95" t="s">
        <v>2714</v>
      </c>
      <c r="O95" t="s">
        <v>10</v>
      </c>
    </row>
    <row r="96" spans="1:16" x14ac:dyDescent="0.2">
      <c r="A96" t="s">
        <v>2325</v>
      </c>
      <c r="B96">
        <v>698</v>
      </c>
      <c r="C96" t="s">
        <v>2059</v>
      </c>
      <c r="D96" t="s">
        <v>2069</v>
      </c>
      <c r="E96" t="s">
        <v>2070</v>
      </c>
      <c r="F96" t="s">
        <v>127</v>
      </c>
      <c r="I96">
        <v>90.607734806629793</v>
      </c>
      <c r="J96" t="s">
        <v>2063</v>
      </c>
      <c r="K96">
        <v>5</v>
      </c>
      <c r="L96">
        <v>1</v>
      </c>
      <c r="M96" t="s">
        <v>2052</v>
      </c>
      <c r="N96" t="s">
        <v>2714</v>
      </c>
      <c r="O96" t="s">
        <v>10</v>
      </c>
    </row>
    <row r="97" spans="1:15" x14ac:dyDescent="0.2">
      <c r="A97" t="s">
        <v>2336</v>
      </c>
      <c r="B97">
        <v>769</v>
      </c>
      <c r="C97" t="s">
        <v>2059</v>
      </c>
      <c r="D97" t="s">
        <v>2069</v>
      </c>
      <c r="E97" t="s">
        <v>2070</v>
      </c>
      <c r="F97" t="s">
        <v>127</v>
      </c>
      <c r="I97">
        <v>90.607734806629793</v>
      </c>
      <c r="J97" t="s">
        <v>2063</v>
      </c>
      <c r="K97">
        <v>2</v>
      </c>
      <c r="L97">
        <v>1</v>
      </c>
      <c r="M97" t="s">
        <v>2052</v>
      </c>
      <c r="N97" t="s">
        <v>2714</v>
      </c>
      <c r="O97" t="s">
        <v>10</v>
      </c>
    </row>
    <row r="98" spans="1:15" x14ac:dyDescent="0.2">
      <c r="A98" t="s">
        <v>2229</v>
      </c>
      <c r="B98">
        <v>380</v>
      </c>
      <c r="C98" t="s">
        <v>2059</v>
      </c>
      <c r="D98" t="s">
        <v>2066</v>
      </c>
      <c r="E98" t="s">
        <v>2091</v>
      </c>
      <c r="I98">
        <v>90.6593406593407</v>
      </c>
      <c r="J98" t="s">
        <v>2063</v>
      </c>
      <c r="K98">
        <v>1</v>
      </c>
      <c r="L98">
        <v>1</v>
      </c>
      <c r="M98" t="s">
        <v>2051</v>
      </c>
      <c r="N98" t="s">
        <v>2714</v>
      </c>
      <c r="O98" t="s">
        <v>10</v>
      </c>
    </row>
    <row r="99" spans="1:15" x14ac:dyDescent="0.2">
      <c r="A99" t="s">
        <v>2249</v>
      </c>
      <c r="B99">
        <v>464</v>
      </c>
      <c r="C99" t="s">
        <v>2059</v>
      </c>
      <c r="D99" t="s">
        <v>2066</v>
      </c>
      <c r="E99" t="s">
        <v>2091</v>
      </c>
      <c r="I99">
        <v>90.697674418604606</v>
      </c>
      <c r="J99" t="s">
        <v>2063</v>
      </c>
      <c r="K99">
        <v>1</v>
      </c>
      <c r="L99">
        <v>1</v>
      </c>
      <c r="M99" t="s">
        <v>2051</v>
      </c>
      <c r="N99" t="s">
        <v>2714</v>
      </c>
      <c r="O99" t="s">
        <v>10</v>
      </c>
    </row>
    <row r="100" spans="1:15" x14ac:dyDescent="0.2">
      <c r="A100" t="s">
        <v>1781</v>
      </c>
      <c r="B100">
        <v>2194</v>
      </c>
      <c r="C100" t="s">
        <v>2059</v>
      </c>
      <c r="D100" t="s">
        <v>2066</v>
      </c>
      <c r="E100" t="s">
        <v>2079</v>
      </c>
      <c r="I100">
        <v>90.710382513661202</v>
      </c>
      <c r="J100" t="s">
        <v>2063</v>
      </c>
      <c r="K100">
        <v>1</v>
      </c>
      <c r="L100">
        <v>1</v>
      </c>
      <c r="M100" t="s">
        <v>2051</v>
      </c>
      <c r="N100" t="s">
        <v>2714</v>
      </c>
      <c r="O100" t="s">
        <v>10</v>
      </c>
    </row>
    <row r="101" spans="1:15" x14ac:dyDescent="0.2">
      <c r="A101" t="s">
        <v>2653</v>
      </c>
      <c r="B101">
        <v>2251</v>
      </c>
      <c r="C101" t="s">
        <v>2059</v>
      </c>
      <c r="D101" t="s">
        <v>2066</v>
      </c>
      <c r="E101" t="s">
        <v>2079</v>
      </c>
      <c r="I101">
        <v>90.710382513661202</v>
      </c>
      <c r="J101" t="s">
        <v>2063</v>
      </c>
      <c r="K101">
        <v>1</v>
      </c>
      <c r="L101">
        <v>1</v>
      </c>
      <c r="M101" t="s">
        <v>2051</v>
      </c>
      <c r="N101" t="s">
        <v>2714</v>
      </c>
      <c r="O101" t="s">
        <v>10</v>
      </c>
    </row>
    <row r="102" spans="1:15" x14ac:dyDescent="0.2">
      <c r="A102" t="s">
        <v>753</v>
      </c>
      <c r="B102">
        <v>781</v>
      </c>
      <c r="C102" t="s">
        <v>2059</v>
      </c>
      <c r="D102" t="s">
        <v>2066</v>
      </c>
      <c r="E102" t="s">
        <v>2067</v>
      </c>
      <c r="F102" t="s">
        <v>2116</v>
      </c>
      <c r="I102">
        <v>90.710382513661202</v>
      </c>
      <c r="J102" t="s">
        <v>2113</v>
      </c>
      <c r="K102">
        <v>1</v>
      </c>
      <c r="L102">
        <v>1</v>
      </c>
      <c r="M102" t="s">
        <v>2052</v>
      </c>
      <c r="N102" t="s">
        <v>2714</v>
      </c>
      <c r="O102" t="s">
        <v>10</v>
      </c>
    </row>
    <row r="103" spans="1:15" x14ac:dyDescent="0.2">
      <c r="A103" t="s">
        <v>2342</v>
      </c>
      <c r="B103">
        <v>814</v>
      </c>
      <c r="C103" t="s">
        <v>2059</v>
      </c>
      <c r="D103" t="s">
        <v>2066</v>
      </c>
      <c r="E103" t="s">
        <v>2067</v>
      </c>
      <c r="F103" t="s">
        <v>2116</v>
      </c>
      <c r="I103">
        <v>90.710382513661202</v>
      </c>
      <c r="J103" t="s">
        <v>2113</v>
      </c>
      <c r="K103">
        <v>1</v>
      </c>
      <c r="L103">
        <v>1</v>
      </c>
      <c r="M103" t="s">
        <v>2052</v>
      </c>
      <c r="N103" t="s">
        <v>2714</v>
      </c>
      <c r="O103" t="s">
        <v>10</v>
      </c>
    </row>
    <row r="104" spans="1:15" x14ac:dyDescent="0.2">
      <c r="A104" t="s">
        <v>2284</v>
      </c>
      <c r="B104">
        <v>600</v>
      </c>
      <c r="C104" t="s">
        <v>2059</v>
      </c>
      <c r="I104">
        <v>90.710382513661202</v>
      </c>
      <c r="J104" t="s">
        <v>2063</v>
      </c>
      <c r="K104">
        <v>1</v>
      </c>
      <c r="L104">
        <v>1</v>
      </c>
      <c r="M104" t="s">
        <v>2049</v>
      </c>
      <c r="N104" t="s">
        <v>2714</v>
      </c>
      <c r="O104" t="s">
        <v>10</v>
      </c>
    </row>
    <row r="105" spans="1:15" x14ac:dyDescent="0.2">
      <c r="A105" t="s">
        <v>2475</v>
      </c>
      <c r="B105">
        <v>1418</v>
      </c>
      <c r="C105" t="s">
        <v>2059</v>
      </c>
      <c r="D105" t="s">
        <v>2069</v>
      </c>
      <c r="I105">
        <v>90.756302521008394</v>
      </c>
      <c r="J105" t="s">
        <v>2113</v>
      </c>
      <c r="K105">
        <v>1</v>
      </c>
      <c r="L105">
        <v>1</v>
      </c>
      <c r="M105" t="s">
        <v>2050</v>
      </c>
      <c r="N105" t="s">
        <v>2714</v>
      </c>
      <c r="O105" t="s">
        <v>10</v>
      </c>
    </row>
    <row r="106" spans="1:15" x14ac:dyDescent="0.2">
      <c r="A106" t="s">
        <v>2228</v>
      </c>
      <c r="B106">
        <v>374</v>
      </c>
      <c r="C106" t="s">
        <v>2059</v>
      </c>
      <c r="I106">
        <v>90.760869565217405</v>
      </c>
      <c r="J106" t="s">
        <v>2063</v>
      </c>
      <c r="K106">
        <v>1</v>
      </c>
      <c r="L106">
        <v>1</v>
      </c>
      <c r="M106" t="s">
        <v>2049</v>
      </c>
      <c r="N106" t="s">
        <v>2714</v>
      </c>
      <c r="O106" t="s">
        <v>10</v>
      </c>
    </row>
    <row r="107" spans="1:15" x14ac:dyDescent="0.2">
      <c r="A107" t="s">
        <v>2430</v>
      </c>
      <c r="B107">
        <v>1210</v>
      </c>
      <c r="C107" t="s">
        <v>2059</v>
      </c>
      <c r="D107" t="s">
        <v>2066</v>
      </c>
      <c r="E107" t="s">
        <v>2079</v>
      </c>
      <c r="F107" t="s">
        <v>79</v>
      </c>
      <c r="I107">
        <v>90.769230769230802</v>
      </c>
      <c r="J107" t="s">
        <v>2063</v>
      </c>
      <c r="K107">
        <v>7</v>
      </c>
      <c r="L107">
        <v>0.63636363636363602</v>
      </c>
      <c r="M107" t="s">
        <v>2052</v>
      </c>
      <c r="N107" t="s">
        <v>2714</v>
      </c>
      <c r="O107" t="s">
        <v>10</v>
      </c>
    </row>
    <row r="108" spans="1:15" x14ac:dyDescent="0.2">
      <c r="A108" t="s">
        <v>206</v>
      </c>
      <c r="B108">
        <v>146</v>
      </c>
      <c r="C108" t="s">
        <v>2059</v>
      </c>
      <c r="D108" t="s">
        <v>2066</v>
      </c>
      <c r="E108" t="s">
        <v>2086</v>
      </c>
      <c r="F108" t="s">
        <v>2100</v>
      </c>
      <c r="I108">
        <v>90.789473684210506</v>
      </c>
      <c r="J108" t="s">
        <v>2063</v>
      </c>
      <c r="K108">
        <v>3</v>
      </c>
      <c r="L108">
        <v>0.6</v>
      </c>
      <c r="M108" t="s">
        <v>2052</v>
      </c>
      <c r="N108" t="s">
        <v>2714</v>
      </c>
      <c r="O108" t="s">
        <v>10</v>
      </c>
    </row>
    <row r="109" spans="1:15" x14ac:dyDescent="0.2">
      <c r="A109" t="s">
        <v>1158</v>
      </c>
      <c r="B109">
        <v>1387</v>
      </c>
      <c r="C109" t="s">
        <v>2059</v>
      </c>
      <c r="D109" t="s">
        <v>2066</v>
      </c>
      <c r="E109" t="s">
        <v>2086</v>
      </c>
      <c r="F109" t="s">
        <v>2100</v>
      </c>
      <c r="I109">
        <v>90.789473684210506</v>
      </c>
      <c r="J109" t="s">
        <v>2063</v>
      </c>
      <c r="K109">
        <v>3</v>
      </c>
      <c r="L109">
        <v>0.6</v>
      </c>
      <c r="M109" t="s">
        <v>2052</v>
      </c>
      <c r="N109" t="s">
        <v>2714</v>
      </c>
      <c r="O109" t="s">
        <v>10</v>
      </c>
    </row>
    <row r="110" spans="1:15" x14ac:dyDescent="0.2">
      <c r="A110" t="s">
        <v>1627</v>
      </c>
      <c r="B110">
        <v>1993</v>
      </c>
      <c r="C110" t="s">
        <v>2059</v>
      </c>
      <c r="D110" t="s">
        <v>2069</v>
      </c>
      <c r="I110">
        <v>90.804597701149405</v>
      </c>
      <c r="J110" t="s">
        <v>2063</v>
      </c>
      <c r="K110">
        <v>2</v>
      </c>
      <c r="L110">
        <v>1</v>
      </c>
      <c r="M110" t="s">
        <v>2050</v>
      </c>
      <c r="N110" t="s">
        <v>2714</v>
      </c>
      <c r="O110" t="s">
        <v>10</v>
      </c>
    </row>
    <row r="111" spans="1:15" x14ac:dyDescent="0.2">
      <c r="A111" t="s">
        <v>1339</v>
      </c>
      <c r="B111">
        <v>1582</v>
      </c>
      <c r="C111" t="s">
        <v>2059</v>
      </c>
      <c r="I111">
        <v>90.810810810810807</v>
      </c>
      <c r="J111" t="s">
        <v>2063</v>
      </c>
      <c r="K111">
        <v>1</v>
      </c>
      <c r="L111">
        <v>1</v>
      </c>
      <c r="M111" t="s">
        <v>2049</v>
      </c>
      <c r="N111" t="s">
        <v>2714</v>
      </c>
      <c r="O111" t="s">
        <v>10</v>
      </c>
    </row>
    <row r="112" spans="1:15" x14ac:dyDescent="0.2">
      <c r="A112" t="s">
        <v>2107</v>
      </c>
      <c r="B112">
        <v>48</v>
      </c>
      <c r="C112" t="s">
        <v>2059</v>
      </c>
      <c r="D112" t="s">
        <v>2066</v>
      </c>
      <c r="E112" t="s">
        <v>2091</v>
      </c>
      <c r="I112">
        <v>90.860215053763397</v>
      </c>
      <c r="J112" t="s">
        <v>2063</v>
      </c>
      <c r="K112">
        <v>1</v>
      </c>
      <c r="L112">
        <v>1</v>
      </c>
      <c r="M112" t="s">
        <v>2051</v>
      </c>
      <c r="N112" t="s">
        <v>2714</v>
      </c>
      <c r="O112" t="s">
        <v>10</v>
      </c>
    </row>
    <row r="113" spans="1:15" x14ac:dyDescent="0.2">
      <c r="A113" t="s">
        <v>2158</v>
      </c>
      <c r="B113">
        <v>180</v>
      </c>
      <c r="C113" t="s">
        <v>2059</v>
      </c>
      <c r="D113" t="s">
        <v>2066</v>
      </c>
      <c r="E113" t="s">
        <v>2091</v>
      </c>
      <c r="I113">
        <v>90.860215053763397</v>
      </c>
      <c r="J113" t="s">
        <v>2063</v>
      </c>
      <c r="K113">
        <v>1</v>
      </c>
      <c r="L113">
        <v>1</v>
      </c>
      <c r="M113" t="s">
        <v>2051</v>
      </c>
      <c r="N113" t="s">
        <v>2714</v>
      </c>
      <c r="O113" t="s">
        <v>10</v>
      </c>
    </row>
    <row r="114" spans="1:15" x14ac:dyDescent="0.2">
      <c r="A114" t="s">
        <v>2248</v>
      </c>
      <c r="B114">
        <v>463</v>
      </c>
      <c r="C114" t="s">
        <v>2059</v>
      </c>
      <c r="D114" t="s">
        <v>2066</v>
      </c>
      <c r="E114" t="s">
        <v>2067</v>
      </c>
      <c r="I114">
        <v>90.909090909090907</v>
      </c>
      <c r="J114" t="s">
        <v>2113</v>
      </c>
      <c r="K114">
        <v>1</v>
      </c>
      <c r="L114">
        <v>1</v>
      </c>
      <c r="M114" t="s">
        <v>2051</v>
      </c>
      <c r="N114" t="s">
        <v>2714</v>
      </c>
      <c r="O114" t="s">
        <v>10</v>
      </c>
    </row>
    <row r="115" spans="1:15" x14ac:dyDescent="0.2">
      <c r="A115" t="s">
        <v>2563</v>
      </c>
      <c r="B115">
        <v>1868</v>
      </c>
      <c r="C115" t="s">
        <v>2059</v>
      </c>
      <c r="D115" t="s">
        <v>2066</v>
      </c>
      <c r="E115" t="s">
        <v>2080</v>
      </c>
      <c r="I115">
        <v>90.909090909090907</v>
      </c>
      <c r="J115" t="s">
        <v>2063</v>
      </c>
      <c r="K115">
        <v>1</v>
      </c>
      <c r="L115">
        <v>1</v>
      </c>
      <c r="M115" t="s">
        <v>2051</v>
      </c>
      <c r="N115" t="s">
        <v>2714</v>
      </c>
      <c r="O115" t="s">
        <v>10</v>
      </c>
    </row>
    <row r="116" spans="1:15" x14ac:dyDescent="0.2">
      <c r="A116" t="s">
        <v>2304</v>
      </c>
      <c r="B116">
        <v>653</v>
      </c>
      <c r="C116" t="s">
        <v>2059</v>
      </c>
      <c r="D116" t="s">
        <v>2066</v>
      </c>
      <c r="E116" t="s">
        <v>2086</v>
      </c>
      <c r="F116" t="s">
        <v>2277</v>
      </c>
      <c r="I116">
        <v>90.909090909090907</v>
      </c>
      <c r="J116" t="s">
        <v>2063</v>
      </c>
      <c r="K116">
        <v>43</v>
      </c>
      <c r="L116">
        <v>0.97727272727272696</v>
      </c>
      <c r="M116" t="s">
        <v>2052</v>
      </c>
      <c r="N116" t="s">
        <v>2714</v>
      </c>
      <c r="O116" t="s">
        <v>10</v>
      </c>
    </row>
    <row r="117" spans="1:15" x14ac:dyDescent="0.2">
      <c r="A117" t="s">
        <v>2622</v>
      </c>
      <c r="B117">
        <v>2138</v>
      </c>
      <c r="C117" t="s">
        <v>2059</v>
      </c>
      <c r="I117">
        <v>90.909090909090907</v>
      </c>
      <c r="J117" t="s">
        <v>2063</v>
      </c>
      <c r="K117">
        <v>1</v>
      </c>
      <c r="L117">
        <v>1</v>
      </c>
      <c r="M117" t="s">
        <v>2049</v>
      </c>
      <c r="N117" t="s">
        <v>2714</v>
      </c>
      <c r="O117" t="s">
        <v>10</v>
      </c>
    </row>
    <row r="118" spans="1:15" x14ac:dyDescent="0.2">
      <c r="A118" t="s">
        <v>2412</v>
      </c>
      <c r="B118">
        <v>1085</v>
      </c>
      <c r="C118" t="s">
        <v>2059</v>
      </c>
      <c r="D118" t="s">
        <v>2069</v>
      </c>
      <c r="E118" t="s">
        <v>2314</v>
      </c>
      <c r="F118" t="s">
        <v>2413</v>
      </c>
      <c r="I118">
        <v>90.960451977401107</v>
      </c>
      <c r="J118" t="s">
        <v>2063</v>
      </c>
      <c r="K118">
        <v>1</v>
      </c>
      <c r="L118">
        <v>1</v>
      </c>
      <c r="M118" t="s">
        <v>2052</v>
      </c>
      <c r="N118" t="s">
        <v>2714</v>
      </c>
      <c r="O118" t="s">
        <v>10</v>
      </c>
    </row>
    <row r="119" spans="1:15" x14ac:dyDescent="0.2">
      <c r="A119" t="s">
        <v>2191</v>
      </c>
      <c r="B119">
        <v>273</v>
      </c>
      <c r="C119" t="s">
        <v>2059</v>
      </c>
      <c r="D119" t="s">
        <v>2066</v>
      </c>
      <c r="E119" t="s">
        <v>2090</v>
      </c>
      <c r="F119" t="s">
        <v>46</v>
      </c>
      <c r="I119">
        <v>90.960451977401107</v>
      </c>
      <c r="J119" t="s">
        <v>2063</v>
      </c>
      <c r="K119">
        <v>16</v>
      </c>
      <c r="L119">
        <v>0.94117647058823495</v>
      </c>
      <c r="M119" t="s">
        <v>2052</v>
      </c>
      <c r="N119" t="s">
        <v>2714</v>
      </c>
      <c r="O119" t="s">
        <v>10</v>
      </c>
    </row>
    <row r="120" spans="1:15" x14ac:dyDescent="0.2">
      <c r="A120" t="s">
        <v>2436</v>
      </c>
      <c r="B120">
        <v>1238</v>
      </c>
      <c r="C120" t="s">
        <v>2059</v>
      </c>
      <c r="D120" t="s">
        <v>2066</v>
      </c>
      <c r="E120" t="s">
        <v>2360</v>
      </c>
      <c r="F120" t="s">
        <v>2437</v>
      </c>
      <c r="I120">
        <v>90.990990990990994</v>
      </c>
      <c r="J120" t="s">
        <v>2113</v>
      </c>
      <c r="K120">
        <v>1</v>
      </c>
      <c r="L120">
        <v>1</v>
      </c>
      <c r="M120" t="s">
        <v>2052</v>
      </c>
      <c r="N120" t="s">
        <v>2714</v>
      </c>
      <c r="O120" t="s">
        <v>10</v>
      </c>
    </row>
    <row r="121" spans="1:15" x14ac:dyDescent="0.2">
      <c r="A121" t="s">
        <v>2664</v>
      </c>
      <c r="B121">
        <v>2298</v>
      </c>
      <c r="C121" t="s">
        <v>2059</v>
      </c>
      <c r="D121" t="s">
        <v>2066</v>
      </c>
      <c r="E121" t="s">
        <v>2067</v>
      </c>
      <c r="F121" t="s">
        <v>276</v>
      </c>
      <c r="I121">
        <v>91.025641025640994</v>
      </c>
      <c r="J121" t="s">
        <v>2063</v>
      </c>
      <c r="K121">
        <v>3</v>
      </c>
      <c r="L121">
        <v>1</v>
      </c>
      <c r="M121" t="s">
        <v>2052</v>
      </c>
      <c r="N121" t="s">
        <v>2714</v>
      </c>
      <c r="O121" t="s">
        <v>10</v>
      </c>
    </row>
    <row r="122" spans="1:15" x14ac:dyDescent="0.2">
      <c r="A122" t="s">
        <v>2666</v>
      </c>
      <c r="B122">
        <v>2304</v>
      </c>
      <c r="C122" t="s">
        <v>2059</v>
      </c>
      <c r="D122" t="s">
        <v>2066</v>
      </c>
      <c r="E122" t="s">
        <v>2067</v>
      </c>
      <c r="F122" t="s">
        <v>276</v>
      </c>
      <c r="I122">
        <v>91.025641025640994</v>
      </c>
      <c r="J122" t="s">
        <v>2063</v>
      </c>
      <c r="K122">
        <v>3</v>
      </c>
      <c r="L122">
        <v>1</v>
      </c>
      <c r="M122" t="s">
        <v>2052</v>
      </c>
      <c r="N122" t="s">
        <v>2714</v>
      </c>
      <c r="O122" t="s">
        <v>10</v>
      </c>
    </row>
    <row r="123" spans="1:15" x14ac:dyDescent="0.2">
      <c r="A123" t="s">
        <v>487</v>
      </c>
      <c r="B123">
        <v>450</v>
      </c>
      <c r="C123" t="s">
        <v>2059</v>
      </c>
      <c r="D123" t="s">
        <v>2069</v>
      </c>
      <c r="E123" t="s">
        <v>2070</v>
      </c>
      <c r="F123" t="s">
        <v>127</v>
      </c>
      <c r="I123">
        <v>91.061452513966501</v>
      </c>
      <c r="J123" t="s">
        <v>2063</v>
      </c>
      <c r="K123">
        <v>8</v>
      </c>
      <c r="L123">
        <v>1</v>
      </c>
      <c r="M123" t="s">
        <v>2052</v>
      </c>
      <c r="N123" t="s">
        <v>2714</v>
      </c>
      <c r="O123" t="s">
        <v>10</v>
      </c>
    </row>
    <row r="124" spans="1:15" x14ac:dyDescent="0.2">
      <c r="A124" t="s">
        <v>2532</v>
      </c>
      <c r="B124">
        <v>1665</v>
      </c>
      <c r="C124" t="s">
        <v>2059</v>
      </c>
      <c r="D124" t="s">
        <v>2066</v>
      </c>
      <c r="E124" t="s">
        <v>2067</v>
      </c>
      <c r="F124" t="s">
        <v>2072</v>
      </c>
      <c r="I124">
        <v>91.061452513966501</v>
      </c>
      <c r="J124" t="s">
        <v>2113</v>
      </c>
      <c r="K124">
        <v>41</v>
      </c>
      <c r="L124">
        <v>1</v>
      </c>
      <c r="M124" t="s">
        <v>2052</v>
      </c>
      <c r="N124" t="s">
        <v>2714</v>
      </c>
      <c r="O124" t="s">
        <v>10</v>
      </c>
    </row>
    <row r="125" spans="1:15" x14ac:dyDescent="0.2">
      <c r="A125" t="s">
        <v>2577</v>
      </c>
      <c r="B125">
        <v>1930</v>
      </c>
      <c r="C125" t="s">
        <v>2059</v>
      </c>
      <c r="I125">
        <v>91.061452513966501</v>
      </c>
      <c r="J125" t="s">
        <v>2063</v>
      </c>
      <c r="K125">
        <v>1</v>
      </c>
      <c r="L125">
        <v>1</v>
      </c>
      <c r="M125" t="s">
        <v>2049</v>
      </c>
      <c r="N125" t="s">
        <v>2714</v>
      </c>
      <c r="O125" t="s">
        <v>10</v>
      </c>
    </row>
    <row r="126" spans="1:15" x14ac:dyDescent="0.2">
      <c r="A126" t="s">
        <v>126</v>
      </c>
      <c r="B126">
        <v>71</v>
      </c>
      <c r="C126" t="s">
        <v>2059</v>
      </c>
      <c r="D126" t="s">
        <v>2069</v>
      </c>
      <c r="E126" t="s">
        <v>2070</v>
      </c>
      <c r="F126" t="s">
        <v>127</v>
      </c>
      <c r="I126">
        <v>91.1111111111111</v>
      </c>
      <c r="J126" t="s">
        <v>2063</v>
      </c>
      <c r="K126">
        <v>5</v>
      </c>
      <c r="L126">
        <v>1</v>
      </c>
      <c r="M126" t="s">
        <v>2052</v>
      </c>
      <c r="N126" t="s">
        <v>2714</v>
      </c>
      <c r="O126" t="s">
        <v>10</v>
      </c>
    </row>
    <row r="127" spans="1:15" x14ac:dyDescent="0.2">
      <c r="A127" t="s">
        <v>2681</v>
      </c>
      <c r="B127">
        <v>2365</v>
      </c>
      <c r="C127" t="s">
        <v>2059</v>
      </c>
      <c r="D127" t="s">
        <v>2066</v>
      </c>
      <c r="E127" t="s">
        <v>2086</v>
      </c>
      <c r="F127" t="s">
        <v>2277</v>
      </c>
      <c r="I127">
        <v>91.1111111111111</v>
      </c>
      <c r="J127" t="s">
        <v>2063</v>
      </c>
      <c r="K127">
        <v>26</v>
      </c>
      <c r="L127">
        <v>0.57777777777777795</v>
      </c>
      <c r="M127" t="s">
        <v>2052</v>
      </c>
      <c r="N127" t="s">
        <v>2714</v>
      </c>
      <c r="O127" t="s">
        <v>10</v>
      </c>
    </row>
    <row r="128" spans="1:15" x14ac:dyDescent="0.2">
      <c r="A128" t="s">
        <v>14</v>
      </c>
      <c r="B128">
        <v>7</v>
      </c>
      <c r="C128" t="s">
        <v>2059</v>
      </c>
      <c r="D128" t="s">
        <v>2069</v>
      </c>
      <c r="E128" t="s">
        <v>2070</v>
      </c>
      <c r="F128" t="s">
        <v>127</v>
      </c>
      <c r="I128">
        <v>91.160220994475097</v>
      </c>
      <c r="J128" t="s">
        <v>2063</v>
      </c>
      <c r="K128">
        <v>3</v>
      </c>
      <c r="L128">
        <v>1</v>
      </c>
      <c r="M128" t="s">
        <v>2052</v>
      </c>
      <c r="N128" t="s">
        <v>2714</v>
      </c>
      <c r="O128" t="s">
        <v>10</v>
      </c>
    </row>
    <row r="129" spans="1:16" x14ac:dyDescent="0.2">
      <c r="A129" t="s">
        <v>289</v>
      </c>
      <c r="B129">
        <v>201</v>
      </c>
      <c r="C129" t="s">
        <v>2059</v>
      </c>
      <c r="D129" t="s">
        <v>2069</v>
      </c>
      <c r="E129" t="s">
        <v>2070</v>
      </c>
      <c r="F129" t="s">
        <v>127</v>
      </c>
      <c r="I129">
        <v>91.160220994475097</v>
      </c>
      <c r="J129" t="s">
        <v>2063</v>
      </c>
      <c r="K129">
        <v>8</v>
      </c>
      <c r="L129">
        <v>1</v>
      </c>
      <c r="M129" t="s">
        <v>2052</v>
      </c>
      <c r="N129" t="s">
        <v>2714</v>
      </c>
      <c r="O129" t="s">
        <v>10</v>
      </c>
    </row>
    <row r="130" spans="1:16" x14ac:dyDescent="0.2">
      <c r="A130" t="s">
        <v>2652</v>
      </c>
      <c r="B130">
        <v>2234</v>
      </c>
      <c r="C130" t="s">
        <v>2059</v>
      </c>
      <c r="D130" t="s">
        <v>2069</v>
      </c>
      <c r="I130">
        <v>91.160220994475097</v>
      </c>
      <c r="J130" t="s">
        <v>2063</v>
      </c>
      <c r="K130">
        <v>1</v>
      </c>
      <c r="L130">
        <v>1</v>
      </c>
      <c r="M130" t="s">
        <v>2050</v>
      </c>
      <c r="N130" t="s">
        <v>2714</v>
      </c>
      <c r="O130" t="s">
        <v>10</v>
      </c>
    </row>
    <row r="131" spans="1:16" x14ac:dyDescent="0.2">
      <c r="A131" t="s">
        <v>2266</v>
      </c>
      <c r="B131">
        <v>536</v>
      </c>
      <c r="C131" t="s">
        <v>2059</v>
      </c>
      <c r="D131" t="s">
        <v>2066</v>
      </c>
      <c r="E131" t="s">
        <v>2067</v>
      </c>
      <c r="F131" t="s">
        <v>2072</v>
      </c>
      <c r="I131">
        <v>91.160220994475097</v>
      </c>
      <c r="J131" t="s">
        <v>2063</v>
      </c>
      <c r="K131">
        <v>55</v>
      </c>
      <c r="L131">
        <v>1</v>
      </c>
      <c r="M131" t="s">
        <v>2052</v>
      </c>
      <c r="N131" t="s">
        <v>2714</v>
      </c>
      <c r="O131" t="s">
        <v>10</v>
      </c>
    </row>
    <row r="132" spans="1:16" x14ac:dyDescent="0.2">
      <c r="A132" t="s">
        <v>2235</v>
      </c>
      <c r="B132">
        <v>405</v>
      </c>
      <c r="C132" t="s">
        <v>2059</v>
      </c>
      <c r="I132">
        <v>91.160220994475097</v>
      </c>
      <c r="J132" t="s">
        <v>2063</v>
      </c>
      <c r="K132">
        <v>1</v>
      </c>
      <c r="L132">
        <v>1</v>
      </c>
      <c r="M132" t="s">
        <v>2049</v>
      </c>
      <c r="N132" t="s">
        <v>2714</v>
      </c>
      <c r="O132" t="s">
        <v>10</v>
      </c>
    </row>
    <row r="133" spans="1:16" x14ac:dyDescent="0.2">
      <c r="A133" t="s">
        <v>2149</v>
      </c>
      <c r="B133">
        <v>139</v>
      </c>
      <c r="C133" t="s">
        <v>2059</v>
      </c>
      <c r="D133" t="s">
        <v>2069</v>
      </c>
      <c r="E133" t="s">
        <v>2127</v>
      </c>
      <c r="F133" t="s">
        <v>2150</v>
      </c>
      <c r="I133">
        <v>91.176470588235304</v>
      </c>
      <c r="J133" t="s">
        <v>2063</v>
      </c>
      <c r="K133">
        <v>1</v>
      </c>
      <c r="L133">
        <v>1</v>
      </c>
      <c r="M133" t="s">
        <v>2052</v>
      </c>
      <c r="N133" t="s">
        <v>2714</v>
      </c>
      <c r="O133" t="s">
        <v>10</v>
      </c>
    </row>
    <row r="134" spans="1:16" x14ac:dyDescent="0.2">
      <c r="A134" t="s">
        <v>2162</v>
      </c>
      <c r="B134">
        <v>188</v>
      </c>
      <c r="C134" t="s">
        <v>2059</v>
      </c>
      <c r="D134" t="s">
        <v>2066</v>
      </c>
      <c r="E134" t="s">
        <v>2091</v>
      </c>
      <c r="I134">
        <v>91.208791208791197</v>
      </c>
      <c r="J134" t="s">
        <v>2063</v>
      </c>
      <c r="K134">
        <v>1</v>
      </c>
      <c r="L134">
        <v>1</v>
      </c>
      <c r="M134" t="s">
        <v>2051</v>
      </c>
      <c r="N134" t="s">
        <v>2714</v>
      </c>
      <c r="O134" t="s">
        <v>10</v>
      </c>
    </row>
    <row r="135" spans="1:16" x14ac:dyDescent="0.2">
      <c r="A135" t="s">
        <v>749</v>
      </c>
      <c r="B135">
        <v>775</v>
      </c>
      <c r="C135" t="s">
        <v>2059</v>
      </c>
      <c r="D135" t="s">
        <v>2066</v>
      </c>
      <c r="E135" t="s">
        <v>2091</v>
      </c>
      <c r="I135">
        <v>91.208791208791197</v>
      </c>
      <c r="J135" t="s">
        <v>2063</v>
      </c>
      <c r="K135">
        <v>1</v>
      </c>
      <c r="L135">
        <v>1</v>
      </c>
      <c r="M135" t="s">
        <v>2051</v>
      </c>
      <c r="N135" t="s">
        <v>2714</v>
      </c>
      <c r="O135" t="s">
        <v>10</v>
      </c>
    </row>
    <row r="136" spans="1:16" x14ac:dyDescent="0.2">
      <c r="A136" t="s">
        <v>2494</v>
      </c>
      <c r="B136">
        <v>1523</v>
      </c>
      <c r="C136" t="s">
        <v>2059</v>
      </c>
      <c r="D136" t="s">
        <v>2066</v>
      </c>
      <c r="E136" t="s">
        <v>2091</v>
      </c>
      <c r="I136">
        <v>91.208791208791197</v>
      </c>
      <c r="J136" t="s">
        <v>2063</v>
      </c>
      <c r="K136">
        <v>1</v>
      </c>
      <c r="L136">
        <v>1</v>
      </c>
      <c r="M136" t="s">
        <v>2051</v>
      </c>
      <c r="N136" t="s">
        <v>2714</v>
      </c>
      <c r="O136" t="s">
        <v>10</v>
      </c>
    </row>
    <row r="137" spans="1:16" x14ac:dyDescent="0.2">
      <c r="A137" t="s">
        <v>2587</v>
      </c>
      <c r="B137">
        <v>1972</v>
      </c>
      <c r="C137" t="s">
        <v>2059</v>
      </c>
      <c r="D137" t="s">
        <v>2066</v>
      </c>
      <c r="E137" t="s">
        <v>2091</v>
      </c>
      <c r="I137">
        <v>91.208791208791197</v>
      </c>
      <c r="J137" t="s">
        <v>2063</v>
      </c>
      <c r="K137">
        <v>1</v>
      </c>
      <c r="L137">
        <v>1</v>
      </c>
      <c r="M137" t="s">
        <v>2051</v>
      </c>
      <c r="N137" t="s">
        <v>2714</v>
      </c>
      <c r="O137" t="s">
        <v>10</v>
      </c>
    </row>
    <row r="138" spans="1:16" hidden="1" x14ac:dyDescent="0.2">
      <c r="A138" t="s">
        <v>2231</v>
      </c>
      <c r="B138">
        <v>403</v>
      </c>
      <c r="C138" t="s">
        <v>2059</v>
      </c>
      <c r="D138" t="s">
        <v>2232</v>
      </c>
      <c r="E138" t="s">
        <v>2233</v>
      </c>
      <c r="F138" t="s">
        <v>2234</v>
      </c>
      <c r="I138">
        <v>95.580110497237598</v>
      </c>
      <c r="J138" t="s">
        <v>2063</v>
      </c>
      <c r="K138">
        <v>4</v>
      </c>
      <c r="L138">
        <v>0.8</v>
      </c>
      <c r="M138" t="s">
        <v>2052</v>
      </c>
      <c r="N138" t="s">
        <v>2038</v>
      </c>
      <c r="O138" t="s">
        <v>10</v>
      </c>
    </row>
    <row r="139" spans="1:16" hidden="1" x14ac:dyDescent="0.2">
      <c r="A139" t="s">
        <v>2337</v>
      </c>
      <c r="B139">
        <v>783</v>
      </c>
      <c r="C139" t="s">
        <v>2059</v>
      </c>
      <c r="D139" t="s">
        <v>2232</v>
      </c>
      <c r="E139" t="s">
        <v>2233</v>
      </c>
      <c r="F139" t="s">
        <v>2234</v>
      </c>
      <c r="I139">
        <v>95.027624309392294</v>
      </c>
      <c r="J139" t="s">
        <v>2063</v>
      </c>
      <c r="K139">
        <v>4</v>
      </c>
      <c r="L139">
        <v>1</v>
      </c>
      <c r="M139" t="s">
        <v>2052</v>
      </c>
      <c r="N139" t="s">
        <v>2038</v>
      </c>
      <c r="O139" t="s">
        <v>10</v>
      </c>
    </row>
    <row r="140" spans="1:16" hidden="1" x14ac:dyDescent="0.2">
      <c r="A140" t="s">
        <v>870</v>
      </c>
      <c r="B140">
        <v>945</v>
      </c>
      <c r="C140" t="s">
        <v>2059</v>
      </c>
      <c r="D140" t="s">
        <v>2232</v>
      </c>
      <c r="E140" t="s">
        <v>2233</v>
      </c>
      <c r="F140" t="s">
        <v>2234</v>
      </c>
      <c r="I140">
        <v>96.132596685082902</v>
      </c>
      <c r="J140" t="s">
        <v>2063</v>
      </c>
      <c r="K140">
        <v>4</v>
      </c>
      <c r="L140">
        <v>1</v>
      </c>
      <c r="M140" t="s">
        <v>2052</v>
      </c>
      <c r="N140" t="s">
        <v>2038</v>
      </c>
      <c r="O140" t="s">
        <v>10</v>
      </c>
    </row>
    <row r="141" spans="1:16" hidden="1" x14ac:dyDescent="0.2">
      <c r="A141" t="s">
        <v>2409</v>
      </c>
      <c r="B141">
        <v>1068</v>
      </c>
      <c r="C141" t="s">
        <v>2059</v>
      </c>
      <c r="D141" t="s">
        <v>2232</v>
      </c>
      <c r="E141" t="s">
        <v>2233</v>
      </c>
      <c r="F141" t="s">
        <v>2234</v>
      </c>
      <c r="I141">
        <v>95.027624309392294</v>
      </c>
      <c r="J141" t="s">
        <v>2063</v>
      </c>
      <c r="K141">
        <v>4</v>
      </c>
      <c r="L141">
        <v>1</v>
      </c>
      <c r="M141" t="s">
        <v>2052</v>
      </c>
      <c r="N141" t="s">
        <v>2038</v>
      </c>
      <c r="O141" t="s">
        <v>10</v>
      </c>
    </row>
    <row r="142" spans="1:16" hidden="1" x14ac:dyDescent="0.2">
      <c r="A142" t="s">
        <v>2414</v>
      </c>
      <c r="B142">
        <v>1096</v>
      </c>
      <c r="C142" t="s">
        <v>2059</v>
      </c>
      <c r="D142" t="s">
        <v>2232</v>
      </c>
      <c r="E142" t="s">
        <v>2233</v>
      </c>
      <c r="F142" t="s">
        <v>2234</v>
      </c>
      <c r="I142">
        <v>95.027624309392294</v>
      </c>
      <c r="J142" t="s">
        <v>2063</v>
      </c>
      <c r="K142">
        <v>4</v>
      </c>
      <c r="L142">
        <v>1</v>
      </c>
      <c r="M142" t="s">
        <v>2052</v>
      </c>
      <c r="N142" t="s">
        <v>2038</v>
      </c>
      <c r="O142" t="s">
        <v>10</v>
      </c>
    </row>
    <row r="143" spans="1:16" hidden="1" x14ac:dyDescent="0.2">
      <c r="A143" t="s">
        <v>994</v>
      </c>
      <c r="B143">
        <v>1147</v>
      </c>
      <c r="C143" t="s">
        <v>2059</v>
      </c>
      <c r="D143" t="s">
        <v>2232</v>
      </c>
      <c r="E143" t="s">
        <v>2419</v>
      </c>
      <c r="F143" t="s">
        <v>2420</v>
      </c>
      <c r="G143" t="s">
        <v>871</v>
      </c>
      <c r="H143" t="s">
        <v>995</v>
      </c>
      <c r="I143">
        <v>100</v>
      </c>
      <c r="J143" t="s">
        <v>2063</v>
      </c>
      <c r="K143">
        <v>7</v>
      </c>
      <c r="L143">
        <v>0.77777777777777801</v>
      </c>
      <c r="M143" t="s">
        <v>8</v>
      </c>
      <c r="N143" t="s">
        <v>2038</v>
      </c>
      <c r="O143" t="s">
        <v>10</v>
      </c>
      <c r="P143" t="s">
        <v>2421</v>
      </c>
    </row>
    <row r="144" spans="1:16" hidden="1" x14ac:dyDescent="0.2">
      <c r="A144" t="s">
        <v>518</v>
      </c>
      <c r="B144">
        <v>504</v>
      </c>
      <c r="C144" t="s">
        <v>2059</v>
      </c>
      <c r="D144" t="s">
        <v>2060</v>
      </c>
      <c r="E144" t="s">
        <v>2061</v>
      </c>
      <c r="F144" t="s">
        <v>119</v>
      </c>
      <c r="G144" t="s">
        <v>238</v>
      </c>
      <c r="H144" t="s">
        <v>519</v>
      </c>
      <c r="I144">
        <v>100</v>
      </c>
      <c r="J144" t="s">
        <v>2063</v>
      </c>
      <c r="K144">
        <v>49</v>
      </c>
      <c r="L144">
        <v>1</v>
      </c>
      <c r="M144" t="s">
        <v>8</v>
      </c>
      <c r="N144" t="s">
        <v>2038</v>
      </c>
      <c r="O144" t="s">
        <v>10</v>
      </c>
      <c r="P144" t="s">
        <v>2258</v>
      </c>
    </row>
    <row r="145" spans="1:16" x14ac:dyDescent="0.2">
      <c r="A145" t="s">
        <v>2538</v>
      </c>
      <c r="B145">
        <v>1699</v>
      </c>
      <c r="C145" t="s">
        <v>2059</v>
      </c>
      <c r="D145" t="s">
        <v>2066</v>
      </c>
      <c r="E145" t="s">
        <v>2080</v>
      </c>
      <c r="I145">
        <v>91.351351351351397</v>
      </c>
      <c r="J145" t="s">
        <v>2063</v>
      </c>
      <c r="K145">
        <v>1</v>
      </c>
      <c r="L145">
        <v>1</v>
      </c>
      <c r="M145" t="s">
        <v>2051</v>
      </c>
      <c r="N145" t="s">
        <v>2714</v>
      </c>
      <c r="O145" t="s">
        <v>10</v>
      </c>
    </row>
    <row r="146" spans="1:16" hidden="1" x14ac:dyDescent="0.2">
      <c r="A146" t="s">
        <v>237</v>
      </c>
      <c r="B146">
        <v>168</v>
      </c>
      <c r="C146" t="s">
        <v>2059</v>
      </c>
      <c r="D146" t="s">
        <v>2060</v>
      </c>
      <c r="E146" t="s">
        <v>2061</v>
      </c>
      <c r="F146" t="s">
        <v>119</v>
      </c>
      <c r="G146" t="s">
        <v>238</v>
      </c>
      <c r="H146" t="s">
        <v>239</v>
      </c>
      <c r="I146">
        <v>100</v>
      </c>
      <c r="J146" t="s">
        <v>2063</v>
      </c>
      <c r="K146">
        <v>50</v>
      </c>
      <c r="L146">
        <v>1</v>
      </c>
      <c r="M146" t="s">
        <v>8</v>
      </c>
      <c r="N146" t="s">
        <v>2038</v>
      </c>
      <c r="O146" t="s">
        <v>10</v>
      </c>
      <c r="P146" t="s">
        <v>2155</v>
      </c>
    </row>
    <row r="147" spans="1:16" hidden="1" x14ac:dyDescent="0.2">
      <c r="A147" t="s">
        <v>1336</v>
      </c>
      <c r="B147">
        <v>1579</v>
      </c>
      <c r="C147" t="s">
        <v>2059</v>
      </c>
      <c r="D147" t="s">
        <v>2060</v>
      </c>
      <c r="E147" t="s">
        <v>2061</v>
      </c>
      <c r="F147" t="s">
        <v>2518</v>
      </c>
      <c r="I147">
        <v>91.764705882352899</v>
      </c>
      <c r="J147" t="s">
        <v>2063</v>
      </c>
      <c r="K147">
        <v>36</v>
      </c>
      <c r="L147">
        <v>0.75</v>
      </c>
      <c r="M147" t="s">
        <v>2052</v>
      </c>
      <c r="N147" t="s">
        <v>2038</v>
      </c>
      <c r="O147" t="s">
        <v>10</v>
      </c>
    </row>
    <row r="148" spans="1:16" hidden="1" x14ac:dyDescent="0.2">
      <c r="A148" t="s">
        <v>1403</v>
      </c>
      <c r="B148">
        <v>1675</v>
      </c>
      <c r="C148" t="s">
        <v>2059</v>
      </c>
      <c r="D148" t="s">
        <v>2060</v>
      </c>
      <c r="E148" t="s">
        <v>2061</v>
      </c>
      <c r="F148" t="s">
        <v>2518</v>
      </c>
      <c r="I148">
        <v>91.764705882352899</v>
      </c>
      <c r="J148" t="s">
        <v>2063</v>
      </c>
      <c r="K148">
        <v>32</v>
      </c>
      <c r="L148">
        <v>0.680851063829787</v>
      </c>
      <c r="M148" t="s">
        <v>2052</v>
      </c>
      <c r="N148" t="s">
        <v>2038</v>
      </c>
      <c r="O148" t="s">
        <v>10</v>
      </c>
    </row>
    <row r="149" spans="1:16" hidden="1" x14ac:dyDescent="0.2">
      <c r="A149" t="s">
        <v>9</v>
      </c>
      <c r="B149">
        <v>1</v>
      </c>
      <c r="C149" t="s">
        <v>2059</v>
      </c>
      <c r="D149" t="s">
        <v>2060</v>
      </c>
      <c r="E149" t="s">
        <v>2061</v>
      </c>
      <c r="F149" t="s">
        <v>2062</v>
      </c>
      <c r="G149" t="s">
        <v>12</v>
      </c>
      <c r="H149" t="s">
        <v>13</v>
      </c>
      <c r="I149">
        <v>99.447513812154696</v>
      </c>
      <c r="J149" t="s">
        <v>2063</v>
      </c>
      <c r="K149">
        <v>37</v>
      </c>
      <c r="L149">
        <v>1</v>
      </c>
      <c r="M149" t="s">
        <v>8</v>
      </c>
      <c r="N149" t="s">
        <v>2038</v>
      </c>
      <c r="O149" t="s">
        <v>10</v>
      </c>
      <c r="P149" t="s">
        <v>2064</v>
      </c>
    </row>
    <row r="150" spans="1:16" hidden="1" x14ac:dyDescent="0.2">
      <c r="A150" t="s">
        <v>485</v>
      </c>
      <c r="B150">
        <v>438</v>
      </c>
      <c r="C150" t="s">
        <v>2059</v>
      </c>
      <c r="D150" t="s">
        <v>2060</v>
      </c>
      <c r="E150" t="s">
        <v>2061</v>
      </c>
      <c r="F150" t="s">
        <v>2062</v>
      </c>
      <c r="G150" t="s">
        <v>12</v>
      </c>
      <c r="H150" t="s">
        <v>13</v>
      </c>
      <c r="I150">
        <v>98.895027624309407</v>
      </c>
      <c r="J150" t="s">
        <v>2063</v>
      </c>
      <c r="K150">
        <v>45</v>
      </c>
      <c r="L150">
        <v>1</v>
      </c>
      <c r="M150" t="s">
        <v>8</v>
      </c>
      <c r="N150" t="s">
        <v>2038</v>
      </c>
      <c r="O150" t="s">
        <v>10</v>
      </c>
      <c r="P150" t="s">
        <v>2242</v>
      </c>
    </row>
    <row r="151" spans="1:16" hidden="1" x14ac:dyDescent="0.2">
      <c r="A151" t="s">
        <v>508</v>
      </c>
      <c r="B151">
        <v>484</v>
      </c>
      <c r="C151" t="s">
        <v>2059</v>
      </c>
      <c r="D151" t="s">
        <v>2060</v>
      </c>
      <c r="E151" t="s">
        <v>2061</v>
      </c>
      <c r="F151" t="s">
        <v>2062</v>
      </c>
      <c r="G151" t="s">
        <v>12</v>
      </c>
      <c r="H151" t="s">
        <v>13</v>
      </c>
      <c r="I151">
        <v>97.237569060773495</v>
      </c>
      <c r="J151" t="s">
        <v>2063</v>
      </c>
      <c r="K151">
        <v>13</v>
      </c>
      <c r="L151">
        <v>1</v>
      </c>
      <c r="M151" t="s">
        <v>8</v>
      </c>
      <c r="N151" t="s">
        <v>2038</v>
      </c>
      <c r="O151" t="s">
        <v>10</v>
      </c>
      <c r="P151" t="s">
        <v>2255</v>
      </c>
    </row>
    <row r="152" spans="1:16" hidden="1" x14ac:dyDescent="0.2">
      <c r="A152" t="s">
        <v>545</v>
      </c>
      <c r="B152">
        <v>529</v>
      </c>
      <c r="C152" t="s">
        <v>2059</v>
      </c>
      <c r="D152" t="s">
        <v>2060</v>
      </c>
      <c r="E152" t="s">
        <v>2061</v>
      </c>
      <c r="F152" t="s">
        <v>2062</v>
      </c>
      <c r="G152" t="s">
        <v>12</v>
      </c>
      <c r="H152" t="s">
        <v>13</v>
      </c>
      <c r="I152">
        <v>99.447513812154696</v>
      </c>
      <c r="J152" t="s">
        <v>2063</v>
      </c>
      <c r="K152">
        <v>43</v>
      </c>
      <c r="L152">
        <v>1</v>
      </c>
      <c r="M152" t="s">
        <v>8</v>
      </c>
      <c r="N152" t="s">
        <v>2038</v>
      </c>
      <c r="O152" t="s">
        <v>10</v>
      </c>
      <c r="P152" t="s">
        <v>2265</v>
      </c>
    </row>
    <row r="153" spans="1:16" hidden="1" x14ac:dyDescent="0.2">
      <c r="A153" t="s">
        <v>763</v>
      </c>
      <c r="B153">
        <v>797</v>
      </c>
      <c r="C153" t="s">
        <v>2059</v>
      </c>
      <c r="D153" t="s">
        <v>2060</v>
      </c>
      <c r="E153" t="s">
        <v>2061</v>
      </c>
      <c r="F153" t="s">
        <v>2062</v>
      </c>
      <c r="G153" t="s">
        <v>12</v>
      </c>
      <c r="H153" t="s">
        <v>13</v>
      </c>
      <c r="I153">
        <v>98.895027624309407</v>
      </c>
      <c r="J153" t="s">
        <v>2063</v>
      </c>
      <c r="K153">
        <v>40</v>
      </c>
      <c r="L153">
        <v>1</v>
      </c>
      <c r="M153" t="s">
        <v>8</v>
      </c>
      <c r="N153" t="s">
        <v>2038</v>
      </c>
      <c r="O153" t="s">
        <v>10</v>
      </c>
      <c r="P153" t="s">
        <v>2340</v>
      </c>
    </row>
    <row r="154" spans="1:16" hidden="1" x14ac:dyDescent="0.2">
      <c r="A154" t="s">
        <v>912</v>
      </c>
      <c r="B154">
        <v>1017</v>
      </c>
      <c r="C154" t="s">
        <v>2059</v>
      </c>
      <c r="D154" t="s">
        <v>2060</v>
      </c>
      <c r="E154" t="s">
        <v>2061</v>
      </c>
      <c r="F154" t="s">
        <v>2062</v>
      </c>
      <c r="G154" t="s">
        <v>12</v>
      </c>
      <c r="H154" t="s">
        <v>13</v>
      </c>
      <c r="I154">
        <v>98.895027624309407</v>
      </c>
      <c r="J154" t="s">
        <v>2063</v>
      </c>
      <c r="K154">
        <v>44</v>
      </c>
      <c r="L154">
        <v>1</v>
      </c>
      <c r="M154" t="s">
        <v>8</v>
      </c>
      <c r="N154" t="s">
        <v>2038</v>
      </c>
      <c r="O154" t="s">
        <v>10</v>
      </c>
      <c r="P154" t="s">
        <v>2391</v>
      </c>
    </row>
    <row r="155" spans="1:16" hidden="1" x14ac:dyDescent="0.2">
      <c r="A155" t="s">
        <v>929</v>
      </c>
      <c r="B155">
        <v>1045</v>
      </c>
      <c r="C155" t="s">
        <v>2059</v>
      </c>
      <c r="D155" t="s">
        <v>2060</v>
      </c>
      <c r="E155" t="s">
        <v>2061</v>
      </c>
      <c r="F155" t="s">
        <v>2062</v>
      </c>
      <c r="G155" t="s">
        <v>12</v>
      </c>
      <c r="H155" t="s">
        <v>13</v>
      </c>
      <c r="I155">
        <v>97.237569060773495</v>
      </c>
      <c r="J155" t="s">
        <v>2063</v>
      </c>
      <c r="K155">
        <v>23</v>
      </c>
      <c r="L155">
        <v>1</v>
      </c>
      <c r="M155" t="s">
        <v>8</v>
      </c>
      <c r="N155" t="s">
        <v>2038</v>
      </c>
      <c r="O155" t="s">
        <v>10</v>
      </c>
      <c r="P155" t="s">
        <v>2401</v>
      </c>
    </row>
    <row r="156" spans="1:16" hidden="1" x14ac:dyDescent="0.2">
      <c r="A156" t="s">
        <v>943</v>
      </c>
      <c r="B156">
        <v>1052</v>
      </c>
      <c r="C156" t="s">
        <v>2059</v>
      </c>
      <c r="D156" t="s">
        <v>2060</v>
      </c>
      <c r="E156" t="s">
        <v>2061</v>
      </c>
      <c r="F156" t="s">
        <v>2062</v>
      </c>
      <c r="G156" t="s">
        <v>12</v>
      </c>
      <c r="H156" t="s">
        <v>13</v>
      </c>
      <c r="I156">
        <v>97.350993377483405</v>
      </c>
      <c r="J156" t="s">
        <v>2063</v>
      </c>
      <c r="K156">
        <v>3</v>
      </c>
      <c r="L156">
        <v>1</v>
      </c>
      <c r="M156" t="s">
        <v>8</v>
      </c>
      <c r="N156" t="s">
        <v>2038</v>
      </c>
      <c r="O156" t="s">
        <v>10</v>
      </c>
      <c r="P156" t="s">
        <v>2404</v>
      </c>
    </row>
    <row r="157" spans="1:16" hidden="1" x14ac:dyDescent="0.2">
      <c r="A157" t="s">
        <v>1218</v>
      </c>
      <c r="B157">
        <v>1454</v>
      </c>
      <c r="C157" t="s">
        <v>2059</v>
      </c>
      <c r="D157" t="s">
        <v>2060</v>
      </c>
      <c r="E157" t="s">
        <v>2061</v>
      </c>
      <c r="F157" t="s">
        <v>2062</v>
      </c>
      <c r="G157" t="s">
        <v>12</v>
      </c>
      <c r="H157" t="s">
        <v>13</v>
      </c>
      <c r="I157">
        <v>99.447513812154696</v>
      </c>
      <c r="J157" t="s">
        <v>2063</v>
      </c>
      <c r="K157">
        <v>39</v>
      </c>
      <c r="L157">
        <v>1</v>
      </c>
      <c r="M157" t="s">
        <v>8</v>
      </c>
      <c r="N157" t="s">
        <v>2038</v>
      </c>
      <c r="O157" t="s">
        <v>10</v>
      </c>
      <c r="P157" t="s">
        <v>2340</v>
      </c>
    </row>
    <row r="158" spans="1:16" hidden="1" x14ac:dyDescent="0.2">
      <c r="A158" t="s">
        <v>1451</v>
      </c>
      <c r="B158">
        <v>1778</v>
      </c>
      <c r="C158" t="s">
        <v>2059</v>
      </c>
      <c r="D158" t="s">
        <v>2060</v>
      </c>
      <c r="E158" t="s">
        <v>2061</v>
      </c>
      <c r="F158" t="s">
        <v>2062</v>
      </c>
      <c r="G158" t="s">
        <v>12</v>
      </c>
      <c r="H158" t="s">
        <v>13</v>
      </c>
      <c r="I158">
        <v>98.895027624309407</v>
      </c>
      <c r="J158" t="s">
        <v>2063</v>
      </c>
      <c r="K158">
        <v>38</v>
      </c>
      <c r="L158">
        <v>1</v>
      </c>
      <c r="M158" t="s">
        <v>8</v>
      </c>
      <c r="N158" t="s">
        <v>2038</v>
      </c>
      <c r="O158" t="s">
        <v>10</v>
      </c>
      <c r="P158" t="s">
        <v>2340</v>
      </c>
    </row>
    <row r="159" spans="1:16" hidden="1" x14ac:dyDescent="0.2">
      <c r="A159" t="s">
        <v>1533</v>
      </c>
      <c r="B159">
        <v>1885</v>
      </c>
      <c r="C159" t="s">
        <v>2059</v>
      </c>
      <c r="D159" t="s">
        <v>2060</v>
      </c>
      <c r="E159" t="s">
        <v>2061</v>
      </c>
      <c r="F159" t="s">
        <v>2062</v>
      </c>
      <c r="G159" t="s">
        <v>12</v>
      </c>
      <c r="H159" t="s">
        <v>13</v>
      </c>
      <c r="I159">
        <v>98.895027624309407</v>
      </c>
      <c r="J159" t="s">
        <v>2063</v>
      </c>
      <c r="K159">
        <v>39</v>
      </c>
      <c r="L159">
        <v>1</v>
      </c>
      <c r="M159" t="s">
        <v>8</v>
      </c>
      <c r="N159" t="s">
        <v>2038</v>
      </c>
      <c r="O159" t="s">
        <v>10</v>
      </c>
      <c r="P159" t="s">
        <v>2340</v>
      </c>
    </row>
    <row r="160" spans="1:16" hidden="1" x14ac:dyDescent="0.2">
      <c r="A160" t="s">
        <v>16</v>
      </c>
      <c r="B160">
        <v>9</v>
      </c>
      <c r="C160" t="s">
        <v>2059</v>
      </c>
      <c r="D160" t="s">
        <v>2060</v>
      </c>
      <c r="E160" t="s">
        <v>2061</v>
      </c>
      <c r="F160" t="s">
        <v>2062</v>
      </c>
      <c r="G160" t="s">
        <v>12</v>
      </c>
      <c r="I160">
        <v>100</v>
      </c>
      <c r="J160" t="s">
        <v>2063</v>
      </c>
      <c r="K160">
        <v>46</v>
      </c>
      <c r="L160">
        <v>1</v>
      </c>
      <c r="M160" t="s">
        <v>7</v>
      </c>
      <c r="N160" t="s">
        <v>2038</v>
      </c>
      <c r="O160" t="s">
        <v>10</v>
      </c>
    </row>
    <row r="161" spans="1:16" hidden="1" x14ac:dyDescent="0.2">
      <c r="A161" t="s">
        <v>1826</v>
      </c>
      <c r="B161">
        <v>2252</v>
      </c>
      <c r="C161" t="s">
        <v>2059</v>
      </c>
      <c r="D161" t="s">
        <v>2060</v>
      </c>
      <c r="E161" t="s">
        <v>2061</v>
      </c>
      <c r="F161" t="s">
        <v>2062</v>
      </c>
      <c r="G161" t="s">
        <v>12</v>
      </c>
      <c r="I161">
        <v>95.027624309392294</v>
      </c>
      <c r="J161" t="s">
        <v>2063</v>
      </c>
      <c r="K161">
        <v>9</v>
      </c>
      <c r="L161">
        <v>1</v>
      </c>
      <c r="M161" t="s">
        <v>7</v>
      </c>
      <c r="N161" t="s">
        <v>2038</v>
      </c>
      <c r="O161" t="s">
        <v>10</v>
      </c>
    </row>
    <row r="162" spans="1:16" x14ac:dyDescent="0.2">
      <c r="A162" t="s">
        <v>2605</v>
      </c>
      <c r="B162">
        <v>2058</v>
      </c>
      <c r="C162" t="s">
        <v>2059</v>
      </c>
      <c r="D162" t="s">
        <v>2066</v>
      </c>
      <c r="E162" t="s">
        <v>2080</v>
      </c>
      <c r="I162">
        <v>91.351351351351397</v>
      </c>
      <c r="J162" t="s">
        <v>2063</v>
      </c>
      <c r="K162">
        <v>1</v>
      </c>
      <c r="L162">
        <v>1</v>
      </c>
      <c r="M162" t="s">
        <v>2051</v>
      </c>
      <c r="N162" t="s">
        <v>2714</v>
      </c>
      <c r="O162" t="s">
        <v>10</v>
      </c>
    </row>
    <row r="163" spans="1:16" x14ac:dyDescent="0.2">
      <c r="A163" t="s">
        <v>1737</v>
      </c>
      <c r="B163">
        <v>2162</v>
      </c>
      <c r="C163" t="s">
        <v>2059</v>
      </c>
      <c r="D163" t="s">
        <v>2069</v>
      </c>
      <c r="I163">
        <v>91.379310344827601</v>
      </c>
      <c r="J163" t="s">
        <v>2063</v>
      </c>
      <c r="K163">
        <v>2</v>
      </c>
      <c r="L163">
        <v>1</v>
      </c>
      <c r="M163" t="s">
        <v>2050</v>
      </c>
      <c r="N163" t="s">
        <v>2714</v>
      </c>
      <c r="O163" t="s">
        <v>10</v>
      </c>
    </row>
    <row r="164" spans="1:16" x14ac:dyDescent="0.2">
      <c r="A164" t="s">
        <v>2674</v>
      </c>
      <c r="B164">
        <v>2338</v>
      </c>
      <c r="C164" t="s">
        <v>2059</v>
      </c>
      <c r="D164" t="s">
        <v>2066</v>
      </c>
      <c r="E164" t="s">
        <v>2080</v>
      </c>
      <c r="I164">
        <v>91.443850267379702</v>
      </c>
      <c r="J164" t="s">
        <v>2063</v>
      </c>
      <c r="K164">
        <v>1</v>
      </c>
      <c r="L164">
        <v>1</v>
      </c>
      <c r="M164" t="s">
        <v>2051</v>
      </c>
      <c r="N164" t="s">
        <v>2714</v>
      </c>
      <c r="O164" t="s">
        <v>10</v>
      </c>
    </row>
    <row r="165" spans="1:16" x14ac:dyDescent="0.2">
      <c r="A165" t="s">
        <v>66</v>
      </c>
      <c r="B165">
        <v>32</v>
      </c>
      <c r="C165" t="s">
        <v>2059</v>
      </c>
      <c r="D165" t="s">
        <v>2066</v>
      </c>
      <c r="E165" t="s">
        <v>2086</v>
      </c>
      <c r="F165" t="s">
        <v>2100</v>
      </c>
      <c r="I165">
        <v>91.447368421052602</v>
      </c>
      <c r="J165" t="s">
        <v>2063</v>
      </c>
      <c r="K165">
        <v>3</v>
      </c>
      <c r="L165">
        <v>0.6</v>
      </c>
      <c r="M165" t="s">
        <v>2052</v>
      </c>
      <c r="N165" t="s">
        <v>2714</v>
      </c>
      <c r="O165" t="s">
        <v>10</v>
      </c>
    </row>
    <row r="166" spans="1:16" x14ac:dyDescent="0.2">
      <c r="A166" t="s">
        <v>2071</v>
      </c>
      <c r="B166">
        <v>8</v>
      </c>
      <c r="C166" t="s">
        <v>2059</v>
      </c>
      <c r="D166" t="s">
        <v>2066</v>
      </c>
      <c r="E166" t="s">
        <v>2067</v>
      </c>
      <c r="F166" t="s">
        <v>2072</v>
      </c>
      <c r="I166">
        <v>91.472868217054298</v>
      </c>
      <c r="J166" t="s">
        <v>2063</v>
      </c>
      <c r="K166">
        <v>18</v>
      </c>
      <c r="L166">
        <v>1</v>
      </c>
      <c r="M166" t="s">
        <v>2052</v>
      </c>
      <c r="N166" t="s">
        <v>2714</v>
      </c>
      <c r="O166" t="s">
        <v>10</v>
      </c>
    </row>
    <row r="167" spans="1:16" x14ac:dyDescent="0.2">
      <c r="A167" t="s">
        <v>2702</v>
      </c>
      <c r="B167">
        <v>2505</v>
      </c>
      <c r="C167" t="s">
        <v>2059</v>
      </c>
      <c r="D167" t="s">
        <v>2069</v>
      </c>
      <c r="E167" t="s">
        <v>2070</v>
      </c>
      <c r="F167" t="s">
        <v>2703</v>
      </c>
      <c r="I167">
        <v>91.477272727272705</v>
      </c>
      <c r="J167" t="s">
        <v>2063</v>
      </c>
      <c r="K167">
        <v>1</v>
      </c>
      <c r="L167">
        <v>1</v>
      </c>
      <c r="M167" t="s">
        <v>2052</v>
      </c>
      <c r="N167" t="s">
        <v>2714</v>
      </c>
      <c r="O167" t="s">
        <v>10</v>
      </c>
    </row>
    <row r="168" spans="1:16" x14ac:dyDescent="0.2">
      <c r="A168" t="s">
        <v>2559</v>
      </c>
      <c r="B168">
        <v>1833</v>
      </c>
      <c r="C168" t="s">
        <v>2059</v>
      </c>
      <c r="D168" t="s">
        <v>2066</v>
      </c>
      <c r="E168" t="s">
        <v>2067</v>
      </c>
      <c r="F168" t="s">
        <v>2145</v>
      </c>
      <c r="I168">
        <v>91.477272727272705</v>
      </c>
      <c r="J168" t="s">
        <v>2063</v>
      </c>
      <c r="K168">
        <v>1</v>
      </c>
      <c r="L168">
        <v>1</v>
      </c>
      <c r="M168" t="s">
        <v>2052</v>
      </c>
      <c r="N168" t="s">
        <v>2714</v>
      </c>
      <c r="O168" t="s">
        <v>10</v>
      </c>
    </row>
    <row r="169" spans="1:16" x14ac:dyDescent="0.2">
      <c r="A169" t="s">
        <v>2609</v>
      </c>
      <c r="B169">
        <v>2093</v>
      </c>
      <c r="C169" t="s">
        <v>2059</v>
      </c>
      <c r="D169" t="s">
        <v>2066</v>
      </c>
      <c r="E169" t="s">
        <v>2067</v>
      </c>
      <c r="F169" t="s">
        <v>2145</v>
      </c>
      <c r="I169">
        <v>91.477272727272705</v>
      </c>
      <c r="J169" t="s">
        <v>2063</v>
      </c>
      <c r="K169">
        <v>1</v>
      </c>
      <c r="L169">
        <v>1</v>
      </c>
      <c r="M169" t="s">
        <v>2052</v>
      </c>
      <c r="N169" t="s">
        <v>2714</v>
      </c>
      <c r="O169" t="s">
        <v>10</v>
      </c>
    </row>
    <row r="170" spans="1:16" x14ac:dyDescent="0.2">
      <c r="A170" t="s">
        <v>2661</v>
      </c>
      <c r="B170">
        <v>2277</v>
      </c>
      <c r="C170" t="s">
        <v>2059</v>
      </c>
      <c r="D170" t="s">
        <v>2066</v>
      </c>
      <c r="E170" t="s">
        <v>2067</v>
      </c>
      <c r="F170" t="s">
        <v>2072</v>
      </c>
      <c r="I170">
        <v>91.477272727272705</v>
      </c>
      <c r="J170" t="s">
        <v>2063</v>
      </c>
      <c r="K170">
        <v>48</v>
      </c>
      <c r="L170">
        <v>1</v>
      </c>
      <c r="M170" t="s">
        <v>2052</v>
      </c>
      <c r="N170" t="s">
        <v>2714</v>
      </c>
      <c r="O170" t="s">
        <v>10</v>
      </c>
    </row>
    <row r="171" spans="1:16" x14ac:dyDescent="0.2">
      <c r="A171" t="s">
        <v>2392</v>
      </c>
      <c r="B171">
        <v>1025</v>
      </c>
      <c r="C171" t="s">
        <v>2059</v>
      </c>
      <c r="D171" t="s">
        <v>2066</v>
      </c>
      <c r="E171" t="s">
        <v>2086</v>
      </c>
      <c r="F171" t="s">
        <v>2393</v>
      </c>
      <c r="I171">
        <v>91.477272727272705</v>
      </c>
      <c r="J171" t="s">
        <v>2063</v>
      </c>
      <c r="K171">
        <v>8</v>
      </c>
      <c r="L171">
        <v>0.88888888888888895</v>
      </c>
      <c r="M171" t="s">
        <v>2052</v>
      </c>
      <c r="N171" t="s">
        <v>2714</v>
      </c>
      <c r="O171" t="s">
        <v>10</v>
      </c>
    </row>
    <row r="172" spans="1:16" x14ac:dyDescent="0.2">
      <c r="A172" t="s">
        <v>2468</v>
      </c>
      <c r="B172">
        <v>1388</v>
      </c>
      <c r="C172" t="s">
        <v>2059</v>
      </c>
      <c r="D172" t="s">
        <v>2066</v>
      </c>
      <c r="E172" t="s">
        <v>2079</v>
      </c>
      <c r="F172" t="s">
        <v>79</v>
      </c>
      <c r="I172">
        <v>91.525423728813607</v>
      </c>
      <c r="J172" t="s">
        <v>2113</v>
      </c>
      <c r="K172">
        <v>1</v>
      </c>
      <c r="L172">
        <v>1</v>
      </c>
      <c r="M172" t="s">
        <v>2052</v>
      </c>
      <c r="N172" t="s">
        <v>2714</v>
      </c>
      <c r="O172" t="s">
        <v>10</v>
      </c>
    </row>
    <row r="173" spans="1:16" x14ac:dyDescent="0.2">
      <c r="A173" t="s">
        <v>2065</v>
      </c>
      <c r="B173">
        <v>4</v>
      </c>
      <c r="C173" t="s">
        <v>2059</v>
      </c>
      <c r="D173" t="s">
        <v>2066</v>
      </c>
      <c r="E173" t="s">
        <v>2067</v>
      </c>
      <c r="F173" t="s">
        <v>276</v>
      </c>
      <c r="I173">
        <v>91.525423728813607</v>
      </c>
      <c r="J173" t="s">
        <v>2063</v>
      </c>
      <c r="K173">
        <v>50</v>
      </c>
      <c r="L173">
        <v>1</v>
      </c>
      <c r="M173" t="s">
        <v>2052</v>
      </c>
      <c r="N173" t="s">
        <v>2714</v>
      </c>
      <c r="O173" t="s">
        <v>10</v>
      </c>
    </row>
    <row r="174" spans="1:16" x14ac:dyDescent="0.2">
      <c r="A174" t="s">
        <v>2273</v>
      </c>
      <c r="B174">
        <v>540</v>
      </c>
      <c r="C174" t="s">
        <v>2059</v>
      </c>
      <c r="D174" t="s">
        <v>2066</v>
      </c>
      <c r="E174" t="s">
        <v>2080</v>
      </c>
      <c r="F174" t="s">
        <v>1104</v>
      </c>
      <c r="I174">
        <v>91.525423728813607</v>
      </c>
      <c r="J174" t="s">
        <v>2063</v>
      </c>
      <c r="K174">
        <v>51</v>
      </c>
      <c r="L174">
        <v>1</v>
      </c>
      <c r="M174" t="s">
        <v>2052</v>
      </c>
      <c r="N174" t="s">
        <v>2714</v>
      </c>
      <c r="O174" t="s">
        <v>2040</v>
      </c>
    </row>
    <row r="175" spans="1:16" hidden="1" x14ac:dyDescent="0.2">
      <c r="A175" t="s">
        <v>1551</v>
      </c>
      <c r="B175">
        <v>1897</v>
      </c>
      <c r="C175" t="s">
        <v>2059</v>
      </c>
      <c r="D175" t="s">
        <v>2270</v>
      </c>
      <c r="E175" t="s">
        <v>2483</v>
      </c>
      <c r="F175" t="s">
        <v>2570</v>
      </c>
      <c r="G175" t="s">
        <v>1552</v>
      </c>
      <c r="H175" t="s">
        <v>1553</v>
      </c>
      <c r="I175">
        <v>99.428571428571402</v>
      </c>
      <c r="J175" t="s">
        <v>2063</v>
      </c>
      <c r="K175">
        <v>49</v>
      </c>
      <c r="L175">
        <v>1</v>
      </c>
      <c r="M175" t="s">
        <v>8</v>
      </c>
      <c r="N175" t="s">
        <v>2038</v>
      </c>
      <c r="O175" t="s">
        <v>10</v>
      </c>
      <c r="P175" t="s">
        <v>2571</v>
      </c>
    </row>
    <row r="176" spans="1:16" hidden="1" x14ac:dyDescent="0.2">
      <c r="A176" t="s">
        <v>1657</v>
      </c>
      <c r="B176">
        <v>2038</v>
      </c>
      <c r="C176" t="s">
        <v>2059</v>
      </c>
      <c r="D176" t="s">
        <v>2270</v>
      </c>
      <c r="E176" t="s">
        <v>2483</v>
      </c>
      <c r="F176" t="s">
        <v>2570</v>
      </c>
      <c r="G176" t="s">
        <v>1552</v>
      </c>
      <c r="H176" t="s">
        <v>1553</v>
      </c>
      <c r="I176">
        <v>99.428571428571402</v>
      </c>
      <c r="J176" t="s">
        <v>2063</v>
      </c>
      <c r="K176">
        <v>49</v>
      </c>
      <c r="L176">
        <v>1</v>
      </c>
      <c r="M176" t="s">
        <v>8</v>
      </c>
      <c r="N176" t="s">
        <v>2038</v>
      </c>
      <c r="O176" t="s">
        <v>10</v>
      </c>
      <c r="P176" t="s">
        <v>2571</v>
      </c>
    </row>
    <row r="177" spans="1:16" hidden="1" x14ac:dyDescent="0.2">
      <c r="A177" t="s">
        <v>1625</v>
      </c>
      <c r="B177">
        <v>1988</v>
      </c>
      <c r="C177" t="s">
        <v>2059</v>
      </c>
      <c r="D177" t="s">
        <v>2270</v>
      </c>
      <c r="E177" t="s">
        <v>2483</v>
      </c>
      <c r="F177" t="s">
        <v>2570</v>
      </c>
      <c r="I177">
        <v>93.714285714285694</v>
      </c>
      <c r="J177" t="s">
        <v>2113</v>
      </c>
      <c r="K177">
        <v>42</v>
      </c>
      <c r="L177">
        <v>0.85714285714285698</v>
      </c>
      <c r="M177" t="s">
        <v>2052</v>
      </c>
      <c r="N177" t="s">
        <v>2038</v>
      </c>
      <c r="O177" t="s">
        <v>10</v>
      </c>
    </row>
    <row r="178" spans="1:16" hidden="1" x14ac:dyDescent="0.2">
      <c r="A178" t="s">
        <v>1233</v>
      </c>
      <c r="B178">
        <v>1482</v>
      </c>
      <c r="C178" t="s">
        <v>2059</v>
      </c>
      <c r="D178" t="s">
        <v>2270</v>
      </c>
      <c r="E178" t="s">
        <v>2483</v>
      </c>
      <c r="F178" t="s">
        <v>1234</v>
      </c>
      <c r="G178" t="s">
        <v>1235</v>
      </c>
      <c r="H178" t="s">
        <v>2484</v>
      </c>
      <c r="I178">
        <v>97.7653631284916</v>
      </c>
      <c r="J178" t="s">
        <v>2113</v>
      </c>
      <c r="K178">
        <v>2</v>
      </c>
      <c r="L178">
        <v>1</v>
      </c>
      <c r="M178" t="s">
        <v>8</v>
      </c>
      <c r="N178" t="s">
        <v>2038</v>
      </c>
      <c r="O178" t="s">
        <v>10</v>
      </c>
      <c r="P178" t="s">
        <v>2485</v>
      </c>
    </row>
    <row r="179" spans="1:16" hidden="1" x14ac:dyDescent="0.2">
      <c r="A179" t="s">
        <v>1580</v>
      </c>
      <c r="B179">
        <v>1945</v>
      </c>
      <c r="C179" t="s">
        <v>2059</v>
      </c>
      <c r="D179" t="s">
        <v>2270</v>
      </c>
      <c r="E179" t="s">
        <v>2483</v>
      </c>
      <c r="F179" t="s">
        <v>1234</v>
      </c>
      <c r="G179" t="s">
        <v>1235</v>
      </c>
      <c r="H179" t="s">
        <v>2484</v>
      </c>
      <c r="I179">
        <v>97.206703910614493</v>
      </c>
      <c r="J179" t="s">
        <v>2113</v>
      </c>
      <c r="K179">
        <v>2</v>
      </c>
      <c r="L179">
        <v>1</v>
      </c>
      <c r="M179" t="s">
        <v>8</v>
      </c>
      <c r="N179" t="s">
        <v>2038</v>
      </c>
      <c r="O179" t="s">
        <v>10</v>
      </c>
      <c r="P179" t="s">
        <v>2485</v>
      </c>
    </row>
    <row r="180" spans="1:16" hidden="1" x14ac:dyDescent="0.2">
      <c r="A180" t="s">
        <v>1410</v>
      </c>
      <c r="B180">
        <v>1682</v>
      </c>
      <c r="C180" t="s">
        <v>2059</v>
      </c>
      <c r="D180" t="s">
        <v>2270</v>
      </c>
      <c r="E180" t="s">
        <v>2483</v>
      </c>
      <c r="F180" t="s">
        <v>1234</v>
      </c>
      <c r="G180" t="s">
        <v>1235</v>
      </c>
      <c r="I180">
        <v>99.371069182389903</v>
      </c>
      <c r="J180" t="s">
        <v>2063</v>
      </c>
      <c r="K180">
        <v>35</v>
      </c>
      <c r="L180">
        <v>1</v>
      </c>
      <c r="M180" t="s">
        <v>7</v>
      </c>
      <c r="N180" t="s">
        <v>2038</v>
      </c>
      <c r="O180" t="s">
        <v>10</v>
      </c>
    </row>
    <row r="181" spans="1:16" hidden="1" x14ac:dyDescent="0.2">
      <c r="A181" t="s">
        <v>1469</v>
      </c>
      <c r="B181">
        <v>1806</v>
      </c>
      <c r="C181" t="s">
        <v>2059</v>
      </c>
      <c r="D181" t="s">
        <v>2270</v>
      </c>
      <c r="E181" t="s">
        <v>2483</v>
      </c>
      <c r="F181" t="s">
        <v>1234</v>
      </c>
      <c r="G181" t="s">
        <v>1235</v>
      </c>
      <c r="I181">
        <v>98.742138364779905</v>
      </c>
      <c r="J181" t="s">
        <v>2063</v>
      </c>
      <c r="K181">
        <v>35</v>
      </c>
      <c r="L181">
        <v>1</v>
      </c>
      <c r="M181" t="s">
        <v>7</v>
      </c>
      <c r="N181" t="s">
        <v>2038</v>
      </c>
      <c r="O181" t="s">
        <v>10</v>
      </c>
    </row>
    <row r="182" spans="1:16" hidden="1" x14ac:dyDescent="0.2">
      <c r="A182" t="s">
        <v>2624</v>
      </c>
      <c r="B182">
        <v>2161</v>
      </c>
      <c r="C182" t="s">
        <v>2059</v>
      </c>
      <c r="D182" t="s">
        <v>2270</v>
      </c>
      <c r="E182" t="s">
        <v>2483</v>
      </c>
      <c r="F182" t="s">
        <v>1234</v>
      </c>
      <c r="G182" t="s">
        <v>1235</v>
      </c>
      <c r="I182">
        <v>96.1111111111111</v>
      </c>
      <c r="J182" t="s">
        <v>2063</v>
      </c>
      <c r="K182">
        <v>6</v>
      </c>
      <c r="L182">
        <v>1</v>
      </c>
      <c r="M182" t="s">
        <v>7</v>
      </c>
      <c r="N182" t="s">
        <v>2038</v>
      </c>
      <c r="O182" t="s">
        <v>10</v>
      </c>
    </row>
    <row r="183" spans="1:16" hidden="1" x14ac:dyDescent="0.2">
      <c r="A183" t="s">
        <v>1918</v>
      </c>
      <c r="B183">
        <v>2355</v>
      </c>
      <c r="C183" t="s">
        <v>2059</v>
      </c>
      <c r="D183" t="s">
        <v>2270</v>
      </c>
      <c r="E183" t="s">
        <v>2483</v>
      </c>
      <c r="F183" t="s">
        <v>1234</v>
      </c>
      <c r="G183" t="s">
        <v>1235</v>
      </c>
      <c r="I183">
        <v>99.371069182389903</v>
      </c>
      <c r="J183" t="s">
        <v>2063</v>
      </c>
      <c r="K183">
        <v>35</v>
      </c>
      <c r="L183">
        <v>1</v>
      </c>
      <c r="M183" t="s">
        <v>7</v>
      </c>
      <c r="N183" t="s">
        <v>2038</v>
      </c>
      <c r="O183" t="s">
        <v>10</v>
      </c>
    </row>
    <row r="184" spans="1:16" hidden="1" x14ac:dyDescent="0.2">
      <c r="A184" t="s">
        <v>550</v>
      </c>
      <c r="B184">
        <v>538</v>
      </c>
      <c r="C184" t="s">
        <v>2059</v>
      </c>
      <c r="D184" t="s">
        <v>2270</v>
      </c>
      <c r="E184" t="s">
        <v>2271</v>
      </c>
      <c r="F184" t="s">
        <v>551</v>
      </c>
      <c r="G184" t="s">
        <v>552</v>
      </c>
      <c r="H184" t="s">
        <v>553</v>
      </c>
      <c r="I184">
        <v>100</v>
      </c>
      <c r="J184" t="s">
        <v>2063</v>
      </c>
      <c r="K184">
        <v>41</v>
      </c>
      <c r="L184">
        <v>1</v>
      </c>
      <c r="M184" t="s">
        <v>8</v>
      </c>
      <c r="N184" t="s">
        <v>2038</v>
      </c>
      <c r="O184" t="s">
        <v>10</v>
      </c>
      <c r="P184" t="s">
        <v>2272</v>
      </c>
    </row>
    <row r="185" spans="1:16" hidden="1" x14ac:dyDescent="0.2">
      <c r="A185" t="s">
        <v>1032</v>
      </c>
      <c r="B185">
        <v>1215</v>
      </c>
      <c r="C185" t="s">
        <v>2059</v>
      </c>
      <c r="D185" t="s">
        <v>2270</v>
      </c>
      <c r="E185" t="s">
        <v>2271</v>
      </c>
      <c r="F185" t="s">
        <v>551</v>
      </c>
      <c r="G185" t="s">
        <v>552</v>
      </c>
      <c r="H185" t="s">
        <v>553</v>
      </c>
      <c r="I185">
        <v>99.145299145299106</v>
      </c>
      <c r="J185" t="s">
        <v>2063</v>
      </c>
      <c r="K185">
        <v>41</v>
      </c>
      <c r="L185">
        <v>1</v>
      </c>
      <c r="M185" t="s">
        <v>8</v>
      </c>
      <c r="N185" t="s">
        <v>2038</v>
      </c>
      <c r="O185" t="s">
        <v>10</v>
      </c>
      <c r="P185" t="s">
        <v>2272</v>
      </c>
    </row>
    <row r="186" spans="1:16" hidden="1" x14ac:dyDescent="0.2">
      <c r="A186" t="s">
        <v>1097</v>
      </c>
      <c r="B186">
        <v>1295</v>
      </c>
      <c r="C186" t="s">
        <v>2059</v>
      </c>
      <c r="D186" t="s">
        <v>2270</v>
      </c>
      <c r="E186" t="s">
        <v>2271</v>
      </c>
      <c r="F186" t="s">
        <v>551</v>
      </c>
      <c r="G186" t="s">
        <v>552</v>
      </c>
      <c r="H186" t="s">
        <v>553</v>
      </c>
      <c r="I186">
        <v>97.931034482758605</v>
      </c>
      <c r="J186" t="s">
        <v>2063</v>
      </c>
      <c r="K186">
        <v>40</v>
      </c>
      <c r="L186">
        <v>1</v>
      </c>
      <c r="M186" t="s">
        <v>8</v>
      </c>
      <c r="N186" t="s">
        <v>2038</v>
      </c>
      <c r="O186" t="s">
        <v>10</v>
      </c>
      <c r="P186" t="s">
        <v>2272</v>
      </c>
    </row>
    <row r="187" spans="1:16" hidden="1" x14ac:dyDescent="0.2">
      <c r="A187" t="s">
        <v>1138</v>
      </c>
      <c r="B187">
        <v>1350</v>
      </c>
      <c r="C187" t="s">
        <v>2059</v>
      </c>
      <c r="D187" t="s">
        <v>2270</v>
      </c>
      <c r="E187" t="s">
        <v>2271</v>
      </c>
      <c r="F187" t="s">
        <v>551</v>
      </c>
      <c r="G187" t="s">
        <v>552</v>
      </c>
      <c r="H187" t="s">
        <v>553</v>
      </c>
      <c r="I187">
        <v>98.342541436464103</v>
      </c>
      <c r="J187" t="s">
        <v>2063</v>
      </c>
      <c r="K187">
        <v>41</v>
      </c>
      <c r="L187">
        <v>1</v>
      </c>
      <c r="M187" t="s">
        <v>8</v>
      </c>
      <c r="N187" t="s">
        <v>2038</v>
      </c>
      <c r="O187" t="s">
        <v>10</v>
      </c>
      <c r="P187" t="s">
        <v>2272</v>
      </c>
    </row>
    <row r="188" spans="1:16" hidden="1" x14ac:dyDescent="0.2">
      <c r="A188" t="s">
        <v>1429</v>
      </c>
      <c r="B188">
        <v>1730</v>
      </c>
      <c r="C188" t="s">
        <v>2059</v>
      </c>
      <c r="D188" t="s">
        <v>2270</v>
      </c>
      <c r="E188" t="s">
        <v>2271</v>
      </c>
      <c r="F188" t="s">
        <v>551</v>
      </c>
      <c r="G188" t="s">
        <v>552</v>
      </c>
      <c r="H188" t="s">
        <v>553</v>
      </c>
      <c r="I188">
        <v>100</v>
      </c>
      <c r="J188" t="s">
        <v>2063</v>
      </c>
      <c r="K188">
        <v>41</v>
      </c>
      <c r="L188">
        <v>1</v>
      </c>
      <c r="M188" t="s">
        <v>8</v>
      </c>
      <c r="N188" t="s">
        <v>2038</v>
      </c>
      <c r="O188" t="s">
        <v>10</v>
      </c>
      <c r="P188" t="s">
        <v>2272</v>
      </c>
    </row>
    <row r="189" spans="1:16" hidden="1" x14ac:dyDescent="0.2">
      <c r="A189" t="s">
        <v>1514</v>
      </c>
      <c r="B189">
        <v>1857</v>
      </c>
      <c r="C189" t="s">
        <v>2059</v>
      </c>
      <c r="D189" t="s">
        <v>2270</v>
      </c>
      <c r="E189" t="s">
        <v>2271</v>
      </c>
      <c r="F189" t="s">
        <v>551</v>
      </c>
      <c r="G189" t="s">
        <v>552</v>
      </c>
      <c r="H189" t="s">
        <v>553</v>
      </c>
      <c r="I189">
        <v>99.310344827586206</v>
      </c>
      <c r="J189" t="s">
        <v>2063</v>
      </c>
      <c r="K189">
        <v>41</v>
      </c>
      <c r="L189">
        <v>1</v>
      </c>
      <c r="M189" t="s">
        <v>8</v>
      </c>
      <c r="N189" t="s">
        <v>2038</v>
      </c>
      <c r="O189" t="s">
        <v>10</v>
      </c>
      <c r="P189" t="s">
        <v>2272</v>
      </c>
    </row>
    <row r="190" spans="1:16" hidden="1" x14ac:dyDescent="0.2">
      <c r="A190" t="s">
        <v>1635</v>
      </c>
      <c r="B190">
        <v>1999</v>
      </c>
      <c r="C190" t="s">
        <v>2059</v>
      </c>
      <c r="D190" t="s">
        <v>2270</v>
      </c>
      <c r="E190" t="s">
        <v>2271</v>
      </c>
      <c r="F190" t="s">
        <v>551</v>
      </c>
      <c r="G190" t="s">
        <v>552</v>
      </c>
      <c r="H190" t="s">
        <v>553</v>
      </c>
      <c r="I190">
        <v>100</v>
      </c>
      <c r="J190" t="s">
        <v>2063</v>
      </c>
      <c r="K190">
        <v>41</v>
      </c>
      <c r="L190">
        <v>1</v>
      </c>
      <c r="M190" t="s">
        <v>8</v>
      </c>
      <c r="N190" t="s">
        <v>2038</v>
      </c>
      <c r="O190" t="s">
        <v>10</v>
      </c>
      <c r="P190" t="s">
        <v>2272</v>
      </c>
    </row>
    <row r="191" spans="1:16" hidden="1" x14ac:dyDescent="0.2">
      <c r="A191" t="s">
        <v>797</v>
      </c>
      <c r="B191">
        <v>855</v>
      </c>
      <c r="C191" t="s">
        <v>2059</v>
      </c>
      <c r="D191" t="s">
        <v>2270</v>
      </c>
      <c r="E191" t="s">
        <v>2351</v>
      </c>
      <c r="F191" t="s">
        <v>2352</v>
      </c>
      <c r="G191" t="s">
        <v>798</v>
      </c>
      <c r="H191" t="s">
        <v>799</v>
      </c>
      <c r="I191">
        <v>99.090909090909093</v>
      </c>
      <c r="J191" t="s">
        <v>2063</v>
      </c>
      <c r="K191">
        <v>1</v>
      </c>
      <c r="L191">
        <v>1</v>
      </c>
      <c r="M191" t="s">
        <v>8</v>
      </c>
      <c r="N191" t="s">
        <v>2038</v>
      </c>
      <c r="O191" t="s">
        <v>10</v>
      </c>
      <c r="P191" t="s">
        <v>2353</v>
      </c>
    </row>
    <row r="192" spans="1:16" hidden="1" x14ac:dyDescent="0.2">
      <c r="A192" t="s">
        <v>1056</v>
      </c>
      <c r="B192">
        <v>1256</v>
      </c>
      <c r="C192" t="s">
        <v>2059</v>
      </c>
      <c r="D192" t="s">
        <v>2270</v>
      </c>
      <c r="E192" t="s">
        <v>2351</v>
      </c>
      <c r="F192" t="s">
        <v>2352</v>
      </c>
      <c r="G192" t="s">
        <v>798</v>
      </c>
      <c r="H192" t="s">
        <v>799</v>
      </c>
      <c r="I192">
        <v>98.181818181818201</v>
      </c>
      <c r="J192" t="s">
        <v>2063</v>
      </c>
      <c r="K192">
        <v>1</v>
      </c>
      <c r="L192">
        <v>1</v>
      </c>
      <c r="M192" t="s">
        <v>8</v>
      </c>
      <c r="N192" t="s">
        <v>2038</v>
      </c>
      <c r="O192" t="s">
        <v>10</v>
      </c>
      <c r="P192" t="s">
        <v>2353</v>
      </c>
    </row>
    <row r="193" spans="1:16" hidden="1" x14ac:dyDescent="0.2">
      <c r="A193" t="s">
        <v>1245</v>
      </c>
      <c r="B193">
        <v>1495</v>
      </c>
      <c r="C193" t="s">
        <v>2059</v>
      </c>
      <c r="D193" t="s">
        <v>2270</v>
      </c>
      <c r="E193" t="s">
        <v>2351</v>
      </c>
      <c r="F193" t="s">
        <v>2352</v>
      </c>
      <c r="G193" t="s">
        <v>798</v>
      </c>
      <c r="H193" t="s">
        <v>799</v>
      </c>
      <c r="I193">
        <v>98.181818181818201</v>
      </c>
      <c r="J193" t="s">
        <v>2063</v>
      </c>
      <c r="K193">
        <v>1</v>
      </c>
      <c r="L193">
        <v>1</v>
      </c>
      <c r="M193" t="s">
        <v>8</v>
      </c>
      <c r="N193" t="s">
        <v>2038</v>
      </c>
      <c r="O193" t="s">
        <v>10</v>
      </c>
      <c r="P193" t="s">
        <v>2353</v>
      </c>
    </row>
    <row r="194" spans="1:16" hidden="1" x14ac:dyDescent="0.2">
      <c r="A194" t="s">
        <v>682</v>
      </c>
      <c r="B194">
        <v>686</v>
      </c>
      <c r="C194" t="s">
        <v>2059</v>
      </c>
      <c r="D194" t="s">
        <v>2066</v>
      </c>
      <c r="E194" t="s">
        <v>2041</v>
      </c>
      <c r="F194" t="s">
        <v>683</v>
      </c>
      <c r="G194" t="s">
        <v>684</v>
      </c>
      <c r="H194" t="s">
        <v>904</v>
      </c>
      <c r="I194">
        <v>97.790055248618799</v>
      </c>
      <c r="J194" t="s">
        <v>2063</v>
      </c>
      <c r="K194">
        <v>21</v>
      </c>
      <c r="L194">
        <v>1</v>
      </c>
      <c r="M194" t="s">
        <v>8</v>
      </c>
      <c r="N194" t="s">
        <v>2038</v>
      </c>
      <c r="O194" t="s">
        <v>10</v>
      </c>
      <c r="P194" t="s">
        <v>2317</v>
      </c>
    </row>
    <row r="195" spans="1:16" hidden="1" x14ac:dyDescent="0.2">
      <c r="A195" t="s">
        <v>903</v>
      </c>
      <c r="B195">
        <v>1011</v>
      </c>
      <c r="C195" t="s">
        <v>2059</v>
      </c>
      <c r="D195" t="s">
        <v>2066</v>
      </c>
      <c r="E195" t="s">
        <v>2041</v>
      </c>
      <c r="F195" t="s">
        <v>683</v>
      </c>
      <c r="G195" t="s">
        <v>684</v>
      </c>
      <c r="H195" t="s">
        <v>904</v>
      </c>
      <c r="I195">
        <v>100</v>
      </c>
      <c r="J195" t="s">
        <v>2063</v>
      </c>
      <c r="K195">
        <v>40</v>
      </c>
      <c r="L195">
        <v>1</v>
      </c>
      <c r="M195" t="s">
        <v>8</v>
      </c>
      <c r="N195" t="s">
        <v>2038</v>
      </c>
      <c r="O195" t="s">
        <v>10</v>
      </c>
      <c r="P195" t="s">
        <v>2317</v>
      </c>
    </row>
    <row r="196" spans="1:16" hidden="1" x14ac:dyDescent="0.2">
      <c r="A196" t="s">
        <v>1477</v>
      </c>
      <c r="B196">
        <v>1818</v>
      </c>
      <c r="C196" t="s">
        <v>2059</v>
      </c>
      <c r="D196" t="s">
        <v>2066</v>
      </c>
      <c r="E196" t="s">
        <v>2041</v>
      </c>
      <c r="F196" t="s">
        <v>683</v>
      </c>
      <c r="I196">
        <v>92.817679558010994</v>
      </c>
      <c r="J196" t="s">
        <v>2063</v>
      </c>
      <c r="K196">
        <v>44</v>
      </c>
      <c r="L196">
        <v>1</v>
      </c>
      <c r="M196" t="s">
        <v>2052</v>
      </c>
      <c r="N196" t="s">
        <v>2038</v>
      </c>
      <c r="O196" t="s">
        <v>10</v>
      </c>
    </row>
    <row r="197" spans="1:16" hidden="1" x14ac:dyDescent="0.2">
      <c r="A197" t="s">
        <v>293</v>
      </c>
      <c r="B197">
        <v>206</v>
      </c>
      <c r="C197" t="s">
        <v>2059</v>
      </c>
      <c r="D197" t="s">
        <v>2066</v>
      </c>
      <c r="E197" t="s">
        <v>2041</v>
      </c>
      <c r="F197" t="s">
        <v>2165</v>
      </c>
      <c r="G197" t="s">
        <v>294</v>
      </c>
      <c r="H197" t="s">
        <v>295</v>
      </c>
      <c r="I197">
        <v>99.447513812154696</v>
      </c>
      <c r="J197" t="s">
        <v>2063</v>
      </c>
      <c r="K197">
        <v>45</v>
      </c>
      <c r="L197">
        <v>1</v>
      </c>
      <c r="M197" t="s">
        <v>8</v>
      </c>
      <c r="N197" t="s">
        <v>2038</v>
      </c>
      <c r="O197" t="s">
        <v>10</v>
      </c>
      <c r="P197" t="s">
        <v>2166</v>
      </c>
    </row>
    <row r="198" spans="1:16" hidden="1" x14ac:dyDescent="0.2">
      <c r="A198" t="s">
        <v>764</v>
      </c>
      <c r="B198">
        <v>800</v>
      </c>
      <c r="C198" t="s">
        <v>2059</v>
      </c>
      <c r="D198" t="s">
        <v>2066</v>
      </c>
      <c r="E198" t="s">
        <v>2041</v>
      </c>
      <c r="F198" t="s">
        <v>2165</v>
      </c>
      <c r="G198" t="s">
        <v>294</v>
      </c>
      <c r="H198" t="s">
        <v>295</v>
      </c>
      <c r="I198">
        <v>100</v>
      </c>
      <c r="J198" t="s">
        <v>2063</v>
      </c>
      <c r="K198">
        <v>45</v>
      </c>
      <c r="L198">
        <v>1</v>
      </c>
      <c r="M198" t="s">
        <v>8</v>
      </c>
      <c r="N198" t="s">
        <v>2038</v>
      </c>
      <c r="O198" t="s">
        <v>10</v>
      </c>
      <c r="P198" t="s">
        <v>2166</v>
      </c>
    </row>
    <row r="199" spans="1:16" hidden="1" x14ac:dyDescent="0.2">
      <c r="A199" t="s">
        <v>2008</v>
      </c>
      <c r="B199">
        <v>2552</v>
      </c>
      <c r="C199" t="s">
        <v>2059</v>
      </c>
      <c r="D199" t="s">
        <v>2066</v>
      </c>
      <c r="E199" t="s">
        <v>2041</v>
      </c>
      <c r="F199" t="s">
        <v>2658</v>
      </c>
      <c r="G199" t="s">
        <v>1845</v>
      </c>
      <c r="H199" t="s">
        <v>2709</v>
      </c>
      <c r="I199">
        <v>97.237569060773495</v>
      </c>
      <c r="J199" t="s">
        <v>2113</v>
      </c>
      <c r="K199">
        <v>2</v>
      </c>
      <c r="L199">
        <v>1</v>
      </c>
      <c r="M199" t="s">
        <v>8</v>
      </c>
      <c r="N199" t="s">
        <v>2038</v>
      </c>
      <c r="O199" t="s">
        <v>10</v>
      </c>
      <c r="P199" t="s">
        <v>2710</v>
      </c>
    </row>
    <row r="200" spans="1:16" hidden="1" x14ac:dyDescent="0.2">
      <c r="A200" t="s">
        <v>1844</v>
      </c>
      <c r="B200">
        <v>2267</v>
      </c>
      <c r="C200" t="s">
        <v>2059</v>
      </c>
      <c r="D200" t="s">
        <v>2066</v>
      </c>
      <c r="E200" t="s">
        <v>2041</v>
      </c>
      <c r="F200" t="s">
        <v>2658</v>
      </c>
      <c r="G200" t="s">
        <v>1845</v>
      </c>
      <c r="I200">
        <v>96.685082872928206</v>
      </c>
      <c r="J200" t="s">
        <v>2063</v>
      </c>
      <c r="K200">
        <v>6</v>
      </c>
      <c r="L200">
        <v>1</v>
      </c>
      <c r="M200" t="s">
        <v>7</v>
      </c>
      <c r="N200" t="s">
        <v>2038</v>
      </c>
      <c r="O200" t="s">
        <v>10</v>
      </c>
    </row>
    <row r="201" spans="1:16" hidden="1" x14ac:dyDescent="0.2">
      <c r="A201" t="s">
        <v>1803</v>
      </c>
      <c r="B201">
        <v>2220</v>
      </c>
      <c r="C201" t="s">
        <v>2059</v>
      </c>
      <c r="D201" t="s">
        <v>2066</v>
      </c>
      <c r="E201" t="s">
        <v>2041</v>
      </c>
      <c r="F201" t="s">
        <v>2647</v>
      </c>
      <c r="I201">
        <v>100</v>
      </c>
      <c r="J201" t="s">
        <v>2063</v>
      </c>
      <c r="K201">
        <v>36</v>
      </c>
      <c r="L201">
        <v>0.76595744680851097</v>
      </c>
      <c r="M201" t="s">
        <v>2052</v>
      </c>
      <c r="N201" t="s">
        <v>2038</v>
      </c>
      <c r="O201" t="s">
        <v>10</v>
      </c>
    </row>
    <row r="202" spans="1:16" hidden="1" x14ac:dyDescent="0.2">
      <c r="A202" t="s">
        <v>423</v>
      </c>
      <c r="B202">
        <v>358</v>
      </c>
      <c r="C202" t="s">
        <v>2059</v>
      </c>
      <c r="D202" t="s">
        <v>2066</v>
      </c>
      <c r="E202" t="s">
        <v>2041</v>
      </c>
      <c r="F202" t="s">
        <v>2218</v>
      </c>
      <c r="I202">
        <v>94.117647058823493</v>
      </c>
      <c r="J202" t="s">
        <v>2063</v>
      </c>
      <c r="K202">
        <v>42</v>
      </c>
      <c r="L202">
        <v>0.875</v>
      </c>
      <c r="M202" t="s">
        <v>2052</v>
      </c>
      <c r="N202" t="s">
        <v>2038</v>
      </c>
      <c r="O202" t="s">
        <v>10</v>
      </c>
    </row>
    <row r="203" spans="1:16" hidden="1" x14ac:dyDescent="0.2">
      <c r="A203" t="s">
        <v>1920</v>
      </c>
      <c r="B203">
        <v>2361</v>
      </c>
      <c r="C203" t="s">
        <v>2059</v>
      </c>
      <c r="D203" t="s">
        <v>2066</v>
      </c>
      <c r="E203" t="s">
        <v>2091</v>
      </c>
      <c r="F203" t="s">
        <v>2678</v>
      </c>
      <c r="G203" t="s">
        <v>1922</v>
      </c>
      <c r="H203" t="s">
        <v>1921</v>
      </c>
      <c r="I203">
        <v>100</v>
      </c>
      <c r="J203" t="s">
        <v>2063</v>
      </c>
      <c r="K203">
        <v>4</v>
      </c>
      <c r="L203">
        <v>1</v>
      </c>
      <c r="M203" t="s">
        <v>8</v>
      </c>
      <c r="N203" t="s">
        <v>2037</v>
      </c>
      <c r="O203" t="s">
        <v>10</v>
      </c>
      <c r="P203" t="s">
        <v>2679</v>
      </c>
    </row>
    <row r="204" spans="1:16" hidden="1" x14ac:dyDescent="0.2">
      <c r="A204" t="s">
        <v>1618</v>
      </c>
      <c r="B204">
        <v>1984</v>
      </c>
      <c r="C204" t="s">
        <v>2059</v>
      </c>
      <c r="D204" t="s">
        <v>2066</v>
      </c>
      <c r="E204" t="s">
        <v>2091</v>
      </c>
      <c r="F204" t="s">
        <v>2591</v>
      </c>
      <c r="G204" t="s">
        <v>1619</v>
      </c>
      <c r="H204" t="s">
        <v>2592</v>
      </c>
      <c r="I204">
        <v>100</v>
      </c>
      <c r="J204" t="s">
        <v>2063</v>
      </c>
      <c r="K204">
        <v>20</v>
      </c>
      <c r="L204">
        <v>0.44444444444444398</v>
      </c>
      <c r="M204" t="s">
        <v>8</v>
      </c>
      <c r="N204" t="s">
        <v>2037</v>
      </c>
      <c r="O204" t="s">
        <v>10</v>
      </c>
      <c r="P204" t="s">
        <v>2593</v>
      </c>
    </row>
    <row r="205" spans="1:16" hidden="1" x14ac:dyDescent="0.2">
      <c r="A205" t="s">
        <v>1973</v>
      </c>
      <c r="B205">
        <v>2499</v>
      </c>
      <c r="C205" t="s">
        <v>2059</v>
      </c>
      <c r="D205" t="s">
        <v>2066</v>
      </c>
      <c r="E205" t="s">
        <v>2091</v>
      </c>
      <c r="F205" t="s">
        <v>2591</v>
      </c>
      <c r="G205" t="s">
        <v>1619</v>
      </c>
      <c r="H205" t="s">
        <v>2592</v>
      </c>
      <c r="I205">
        <v>99.447513812154696</v>
      </c>
      <c r="J205" t="s">
        <v>2063</v>
      </c>
      <c r="K205">
        <v>20</v>
      </c>
      <c r="L205">
        <v>0.44444444444444398</v>
      </c>
      <c r="M205" t="s">
        <v>8</v>
      </c>
      <c r="N205" t="s">
        <v>2037</v>
      </c>
      <c r="O205" t="s">
        <v>10</v>
      </c>
      <c r="P205" t="s">
        <v>2593</v>
      </c>
    </row>
    <row r="206" spans="1:16" hidden="1" x14ac:dyDescent="0.2">
      <c r="A206" t="s">
        <v>1725</v>
      </c>
      <c r="B206">
        <v>2136</v>
      </c>
      <c r="C206" t="s">
        <v>2059</v>
      </c>
      <c r="D206" t="s">
        <v>2066</v>
      </c>
      <c r="E206" t="s">
        <v>2091</v>
      </c>
      <c r="F206" t="s">
        <v>1229</v>
      </c>
      <c r="G206" t="s">
        <v>2621</v>
      </c>
      <c r="I206">
        <v>95.121951219512198</v>
      </c>
      <c r="J206" t="s">
        <v>2113</v>
      </c>
      <c r="K206">
        <v>1</v>
      </c>
      <c r="L206">
        <v>1</v>
      </c>
      <c r="M206" t="s">
        <v>7</v>
      </c>
      <c r="N206" t="s">
        <v>2037</v>
      </c>
      <c r="O206" t="s">
        <v>10</v>
      </c>
    </row>
    <row r="207" spans="1:16" hidden="1" x14ac:dyDescent="0.2">
      <c r="A207" t="s">
        <v>1198</v>
      </c>
      <c r="B207">
        <v>1438</v>
      </c>
      <c r="C207" t="s">
        <v>2059</v>
      </c>
      <c r="D207" t="s">
        <v>2066</v>
      </c>
      <c r="E207" t="s">
        <v>2091</v>
      </c>
      <c r="F207" t="s">
        <v>1199</v>
      </c>
      <c r="I207">
        <v>93.8888888888889</v>
      </c>
      <c r="J207" t="s">
        <v>2063</v>
      </c>
      <c r="K207">
        <v>28</v>
      </c>
      <c r="L207">
        <v>0.56000000000000005</v>
      </c>
      <c r="M207" t="s">
        <v>2052</v>
      </c>
      <c r="N207" t="s">
        <v>2038</v>
      </c>
      <c r="O207" t="s">
        <v>10</v>
      </c>
    </row>
    <row r="208" spans="1:16" hidden="1" x14ac:dyDescent="0.2">
      <c r="A208" t="s">
        <v>1614</v>
      </c>
      <c r="B208">
        <v>1978</v>
      </c>
      <c r="C208" t="s">
        <v>2059</v>
      </c>
      <c r="D208" t="s">
        <v>2066</v>
      </c>
      <c r="E208" t="s">
        <v>2091</v>
      </c>
      <c r="F208" t="s">
        <v>1199</v>
      </c>
      <c r="I208">
        <v>92.485549132947995</v>
      </c>
      <c r="J208" t="s">
        <v>2063</v>
      </c>
      <c r="K208">
        <v>42</v>
      </c>
      <c r="L208">
        <v>0.85714285714285698</v>
      </c>
      <c r="M208" t="s">
        <v>2052</v>
      </c>
      <c r="N208" t="s">
        <v>2038</v>
      </c>
      <c r="O208" t="s">
        <v>10</v>
      </c>
    </row>
    <row r="209" spans="1:16" hidden="1" x14ac:dyDescent="0.2">
      <c r="A209" t="s">
        <v>2600</v>
      </c>
      <c r="B209">
        <v>2028</v>
      </c>
      <c r="C209" t="s">
        <v>2059</v>
      </c>
      <c r="D209" t="s">
        <v>2066</v>
      </c>
      <c r="E209" t="s">
        <v>2091</v>
      </c>
      <c r="F209" t="s">
        <v>1199</v>
      </c>
      <c r="I209">
        <v>92.2222222222222</v>
      </c>
      <c r="J209" t="s">
        <v>2113</v>
      </c>
      <c r="K209">
        <v>21</v>
      </c>
      <c r="L209">
        <v>0.42857142857142799</v>
      </c>
      <c r="M209" t="s">
        <v>2052</v>
      </c>
      <c r="N209" t="s">
        <v>2038</v>
      </c>
      <c r="O209" t="s">
        <v>10</v>
      </c>
    </row>
    <row r="210" spans="1:16" hidden="1" x14ac:dyDescent="0.2">
      <c r="A210" t="s">
        <v>1720</v>
      </c>
      <c r="B210">
        <v>2127</v>
      </c>
      <c r="C210" t="s">
        <v>2059</v>
      </c>
      <c r="D210" t="s">
        <v>2066</v>
      </c>
      <c r="E210" t="s">
        <v>2091</v>
      </c>
      <c r="F210" t="s">
        <v>1199</v>
      </c>
      <c r="I210">
        <v>93.922651933701701</v>
      </c>
      <c r="J210" t="s">
        <v>2063</v>
      </c>
      <c r="K210">
        <v>27</v>
      </c>
      <c r="L210">
        <v>0.54</v>
      </c>
      <c r="M210" t="s">
        <v>2052</v>
      </c>
      <c r="N210" t="s">
        <v>2038</v>
      </c>
      <c r="O210" t="s">
        <v>10</v>
      </c>
    </row>
    <row r="211" spans="1:16" hidden="1" x14ac:dyDescent="0.2">
      <c r="A211" t="s">
        <v>1506</v>
      </c>
      <c r="B211">
        <v>1847</v>
      </c>
      <c r="C211" t="s">
        <v>2059</v>
      </c>
      <c r="D211" t="s">
        <v>2066</v>
      </c>
      <c r="E211" t="s">
        <v>2091</v>
      </c>
      <c r="F211" t="s">
        <v>2092</v>
      </c>
      <c r="G211" t="s">
        <v>1507</v>
      </c>
      <c r="H211" t="s">
        <v>1508</v>
      </c>
      <c r="I211">
        <v>99.447513812154696</v>
      </c>
      <c r="J211" t="s">
        <v>2063</v>
      </c>
      <c r="K211">
        <v>46</v>
      </c>
      <c r="L211">
        <v>1</v>
      </c>
      <c r="M211" t="s">
        <v>8</v>
      </c>
      <c r="N211" t="s">
        <v>2038</v>
      </c>
      <c r="O211" t="s">
        <v>10</v>
      </c>
      <c r="P211" t="s">
        <v>2560</v>
      </c>
    </row>
    <row r="212" spans="1:16" hidden="1" x14ac:dyDescent="0.2">
      <c r="A212" t="s">
        <v>1273</v>
      </c>
      <c r="B212">
        <v>1535</v>
      </c>
      <c r="C212" t="s">
        <v>2059</v>
      </c>
      <c r="D212" t="s">
        <v>2066</v>
      </c>
      <c r="E212" t="s">
        <v>2091</v>
      </c>
      <c r="F212" t="s">
        <v>2092</v>
      </c>
      <c r="G212" t="s">
        <v>2497</v>
      </c>
      <c r="H212" t="s">
        <v>2498</v>
      </c>
      <c r="I212">
        <v>100</v>
      </c>
      <c r="J212" t="s">
        <v>2063</v>
      </c>
      <c r="K212">
        <v>8</v>
      </c>
      <c r="L212">
        <v>1</v>
      </c>
      <c r="M212" t="s">
        <v>8</v>
      </c>
      <c r="N212" t="s">
        <v>2038</v>
      </c>
      <c r="O212" t="s">
        <v>10</v>
      </c>
      <c r="P212" t="s">
        <v>2499</v>
      </c>
    </row>
    <row r="213" spans="1:16" hidden="1" x14ac:dyDescent="0.2">
      <c r="A213" t="s">
        <v>1728</v>
      </c>
      <c r="B213">
        <v>2146</v>
      </c>
      <c r="C213" t="s">
        <v>2059</v>
      </c>
      <c r="D213" t="s">
        <v>2066</v>
      </c>
      <c r="E213" t="s">
        <v>2091</v>
      </c>
      <c r="F213" t="s">
        <v>2092</v>
      </c>
      <c r="G213" t="s">
        <v>2497</v>
      </c>
      <c r="H213" t="s">
        <v>2498</v>
      </c>
      <c r="I213">
        <v>100</v>
      </c>
      <c r="J213" t="s">
        <v>2113</v>
      </c>
      <c r="K213">
        <v>8</v>
      </c>
      <c r="L213">
        <v>1</v>
      </c>
      <c r="M213" t="s">
        <v>8</v>
      </c>
      <c r="N213" t="s">
        <v>2038</v>
      </c>
      <c r="O213" t="s">
        <v>10</v>
      </c>
      <c r="P213" t="s">
        <v>2499</v>
      </c>
    </row>
    <row r="214" spans="1:16" hidden="1" x14ac:dyDescent="0.2">
      <c r="A214" t="s">
        <v>2415</v>
      </c>
      <c r="B214">
        <v>1114</v>
      </c>
      <c r="C214" t="s">
        <v>2059</v>
      </c>
      <c r="D214" t="s">
        <v>2066</v>
      </c>
      <c r="E214" t="s">
        <v>2091</v>
      </c>
      <c r="F214" t="s">
        <v>2092</v>
      </c>
      <c r="G214" t="s">
        <v>2416</v>
      </c>
      <c r="I214">
        <v>97.740112994350298</v>
      </c>
      <c r="J214" t="s">
        <v>2063</v>
      </c>
      <c r="K214">
        <v>2</v>
      </c>
      <c r="L214">
        <v>1</v>
      </c>
      <c r="M214" t="s">
        <v>7</v>
      </c>
      <c r="N214" t="s">
        <v>2038</v>
      </c>
      <c r="O214" t="s">
        <v>10</v>
      </c>
    </row>
    <row r="215" spans="1:16" hidden="1" x14ac:dyDescent="0.2">
      <c r="A215" t="s">
        <v>112</v>
      </c>
      <c r="B215">
        <v>64</v>
      </c>
      <c r="C215" t="s">
        <v>2059</v>
      </c>
      <c r="D215" t="s">
        <v>2066</v>
      </c>
      <c r="E215" t="s">
        <v>2091</v>
      </c>
      <c r="F215" t="s">
        <v>2092</v>
      </c>
      <c r="G215" t="s">
        <v>1447</v>
      </c>
      <c r="H215" t="s">
        <v>2114</v>
      </c>
      <c r="I215">
        <v>98.8888888888889</v>
      </c>
      <c r="J215" t="s">
        <v>2063</v>
      </c>
      <c r="K215">
        <v>4</v>
      </c>
      <c r="L215">
        <v>1</v>
      </c>
      <c r="M215" t="s">
        <v>8</v>
      </c>
      <c r="N215" t="s">
        <v>2038</v>
      </c>
      <c r="O215" t="s">
        <v>10</v>
      </c>
      <c r="P215" t="s">
        <v>2115</v>
      </c>
    </row>
    <row r="216" spans="1:16" hidden="1" x14ac:dyDescent="0.2">
      <c r="A216" t="s">
        <v>630</v>
      </c>
      <c r="B216">
        <v>634</v>
      </c>
      <c r="C216" t="s">
        <v>2059</v>
      </c>
      <c r="D216" t="s">
        <v>2066</v>
      </c>
      <c r="E216" t="s">
        <v>2091</v>
      </c>
      <c r="F216" t="s">
        <v>2092</v>
      </c>
      <c r="G216" t="s">
        <v>1447</v>
      </c>
      <c r="H216" t="s">
        <v>2114</v>
      </c>
      <c r="I216">
        <v>98.8888888888889</v>
      </c>
      <c r="J216" t="s">
        <v>2063</v>
      </c>
      <c r="K216">
        <v>4</v>
      </c>
      <c r="L216">
        <v>1</v>
      </c>
      <c r="M216" t="s">
        <v>8</v>
      </c>
      <c r="N216" t="s">
        <v>2038</v>
      </c>
      <c r="O216" t="s">
        <v>10</v>
      </c>
      <c r="P216" t="s">
        <v>2115</v>
      </c>
    </row>
    <row r="217" spans="1:16" hidden="1" x14ac:dyDescent="0.2">
      <c r="A217" t="s">
        <v>1446</v>
      </c>
      <c r="B217">
        <v>1767</v>
      </c>
      <c r="C217" t="s">
        <v>2059</v>
      </c>
      <c r="D217" t="s">
        <v>2066</v>
      </c>
      <c r="E217" t="s">
        <v>2091</v>
      </c>
      <c r="F217" t="s">
        <v>2092</v>
      </c>
      <c r="G217" t="s">
        <v>1447</v>
      </c>
      <c r="H217" t="s">
        <v>2114</v>
      </c>
      <c r="I217">
        <v>98.8826815642458</v>
      </c>
      <c r="J217" t="s">
        <v>2063</v>
      </c>
      <c r="K217">
        <v>4</v>
      </c>
      <c r="L217">
        <v>1</v>
      </c>
      <c r="M217" t="s">
        <v>8</v>
      </c>
      <c r="N217" t="s">
        <v>2038</v>
      </c>
      <c r="O217" t="s">
        <v>10</v>
      </c>
      <c r="P217" t="s">
        <v>2115</v>
      </c>
    </row>
    <row r="218" spans="1:16" hidden="1" x14ac:dyDescent="0.2">
      <c r="A218" t="s">
        <v>51</v>
      </c>
      <c r="B218">
        <v>22</v>
      </c>
      <c r="C218" t="s">
        <v>2059</v>
      </c>
      <c r="D218" t="s">
        <v>2066</v>
      </c>
      <c r="E218" t="s">
        <v>2091</v>
      </c>
      <c r="F218" t="s">
        <v>2092</v>
      </c>
      <c r="I218">
        <v>99.4444444444444</v>
      </c>
      <c r="J218" t="s">
        <v>2063</v>
      </c>
      <c r="K218">
        <v>40</v>
      </c>
      <c r="L218">
        <v>0.8</v>
      </c>
      <c r="M218" t="s">
        <v>2052</v>
      </c>
      <c r="N218" t="s">
        <v>2038</v>
      </c>
      <c r="O218" t="s">
        <v>10</v>
      </c>
    </row>
    <row r="219" spans="1:16" hidden="1" x14ac:dyDescent="0.2">
      <c r="A219" t="s">
        <v>203</v>
      </c>
      <c r="B219">
        <v>144</v>
      </c>
      <c r="C219" t="s">
        <v>2059</v>
      </c>
      <c r="D219" t="s">
        <v>2066</v>
      </c>
      <c r="E219" t="s">
        <v>2091</v>
      </c>
      <c r="F219" t="s">
        <v>2151</v>
      </c>
      <c r="G219" t="s">
        <v>204</v>
      </c>
      <c r="H219" t="s">
        <v>205</v>
      </c>
      <c r="I219">
        <v>100</v>
      </c>
      <c r="J219" t="s">
        <v>2063</v>
      </c>
      <c r="K219">
        <v>40</v>
      </c>
      <c r="L219">
        <v>1</v>
      </c>
      <c r="M219" t="s">
        <v>8</v>
      </c>
      <c r="N219" t="s">
        <v>2038</v>
      </c>
      <c r="O219" t="s">
        <v>2040</v>
      </c>
      <c r="P219" t="s">
        <v>2152</v>
      </c>
    </row>
    <row r="220" spans="1:16" hidden="1" x14ac:dyDescent="0.2">
      <c r="A220" t="s">
        <v>573</v>
      </c>
      <c r="B220">
        <v>580</v>
      </c>
      <c r="C220" t="s">
        <v>2059</v>
      </c>
      <c r="D220" t="s">
        <v>2066</v>
      </c>
      <c r="E220" t="s">
        <v>2091</v>
      </c>
      <c r="F220" t="s">
        <v>2151</v>
      </c>
      <c r="G220" t="s">
        <v>204</v>
      </c>
      <c r="H220" t="s">
        <v>205</v>
      </c>
      <c r="I220">
        <v>99.447513812154696</v>
      </c>
      <c r="J220" t="s">
        <v>2063</v>
      </c>
      <c r="K220">
        <v>43</v>
      </c>
      <c r="L220">
        <v>1</v>
      </c>
      <c r="M220" t="s">
        <v>8</v>
      </c>
      <c r="N220" t="s">
        <v>2038</v>
      </c>
      <c r="O220" t="s">
        <v>2040</v>
      </c>
      <c r="P220" t="s">
        <v>2280</v>
      </c>
    </row>
    <row r="221" spans="1:16" hidden="1" x14ac:dyDescent="0.2">
      <c r="A221" t="s">
        <v>649</v>
      </c>
      <c r="B221">
        <v>655</v>
      </c>
      <c r="C221" t="s">
        <v>2059</v>
      </c>
      <c r="D221" t="s">
        <v>2066</v>
      </c>
      <c r="E221" t="s">
        <v>2091</v>
      </c>
      <c r="F221" t="s">
        <v>2151</v>
      </c>
      <c r="G221" t="s">
        <v>204</v>
      </c>
      <c r="H221" t="s">
        <v>205</v>
      </c>
      <c r="I221">
        <v>99.431818181818201</v>
      </c>
      <c r="J221" t="s">
        <v>2063</v>
      </c>
      <c r="K221">
        <v>42</v>
      </c>
      <c r="L221">
        <v>1</v>
      </c>
      <c r="M221" t="s">
        <v>8</v>
      </c>
      <c r="N221" t="s">
        <v>2038</v>
      </c>
      <c r="O221" t="s">
        <v>2040</v>
      </c>
      <c r="P221" t="s">
        <v>2305</v>
      </c>
    </row>
    <row r="222" spans="1:16" x14ac:dyDescent="0.2">
      <c r="A222" t="s">
        <v>2378</v>
      </c>
      <c r="B222">
        <v>956</v>
      </c>
      <c r="C222" t="s">
        <v>2059</v>
      </c>
      <c r="D222" t="s">
        <v>2066</v>
      </c>
      <c r="E222" t="s">
        <v>2318</v>
      </c>
      <c r="F222" t="s">
        <v>2379</v>
      </c>
      <c r="I222">
        <v>91.549295774647902</v>
      </c>
      <c r="J222" t="s">
        <v>2063</v>
      </c>
      <c r="K222">
        <v>2</v>
      </c>
      <c r="L222">
        <v>0.66666666666666696</v>
      </c>
      <c r="M222" t="s">
        <v>2052</v>
      </c>
      <c r="N222" t="s">
        <v>2714</v>
      </c>
      <c r="O222" t="s">
        <v>10</v>
      </c>
    </row>
    <row r="223" spans="1:16" hidden="1" x14ac:dyDescent="0.2">
      <c r="A223" t="s">
        <v>152</v>
      </c>
      <c r="B223">
        <v>87</v>
      </c>
      <c r="C223" t="s">
        <v>2059</v>
      </c>
      <c r="D223" t="s">
        <v>2066</v>
      </c>
      <c r="E223" t="s">
        <v>2091</v>
      </c>
      <c r="F223" t="s">
        <v>2129</v>
      </c>
      <c r="G223" t="s">
        <v>2130</v>
      </c>
      <c r="H223" t="s">
        <v>2131</v>
      </c>
      <c r="I223">
        <v>100</v>
      </c>
      <c r="J223" t="s">
        <v>2063</v>
      </c>
      <c r="K223">
        <v>48</v>
      </c>
      <c r="L223">
        <v>0.97959183673469397</v>
      </c>
      <c r="M223" t="s">
        <v>8</v>
      </c>
      <c r="N223" t="s">
        <v>2038</v>
      </c>
      <c r="O223" t="s">
        <v>10</v>
      </c>
      <c r="P223" t="s">
        <v>2132</v>
      </c>
    </row>
    <row r="224" spans="1:16" hidden="1" x14ac:dyDescent="0.2">
      <c r="A224" t="s">
        <v>663</v>
      </c>
      <c r="B224">
        <v>670</v>
      </c>
      <c r="C224" t="s">
        <v>2059</v>
      </c>
      <c r="D224" t="s">
        <v>2066</v>
      </c>
      <c r="E224" t="s">
        <v>2091</v>
      </c>
      <c r="F224" t="s">
        <v>2129</v>
      </c>
      <c r="G224" t="s">
        <v>2130</v>
      </c>
      <c r="H224" t="s">
        <v>2131</v>
      </c>
      <c r="I224">
        <v>100</v>
      </c>
      <c r="J224" t="s">
        <v>2063</v>
      </c>
      <c r="K224">
        <v>48</v>
      </c>
      <c r="L224">
        <v>0.97959183673469397</v>
      </c>
      <c r="M224" t="s">
        <v>8</v>
      </c>
      <c r="N224" t="s">
        <v>2038</v>
      </c>
      <c r="O224" t="s">
        <v>10</v>
      </c>
      <c r="P224" t="s">
        <v>2132</v>
      </c>
    </row>
    <row r="225" spans="1:16" hidden="1" x14ac:dyDescent="0.2">
      <c r="A225" t="s">
        <v>1021</v>
      </c>
      <c r="B225">
        <v>1201</v>
      </c>
      <c r="C225" t="s">
        <v>2059</v>
      </c>
      <c r="D225" t="s">
        <v>2066</v>
      </c>
      <c r="E225" t="s">
        <v>2091</v>
      </c>
      <c r="F225" t="s">
        <v>2129</v>
      </c>
      <c r="G225" t="s">
        <v>2130</v>
      </c>
      <c r="H225" t="s">
        <v>2131</v>
      </c>
      <c r="I225">
        <v>98.895027624309407</v>
      </c>
      <c r="J225" t="s">
        <v>2063</v>
      </c>
      <c r="K225">
        <v>48</v>
      </c>
      <c r="L225">
        <v>0.97959183673469397</v>
      </c>
      <c r="M225" t="s">
        <v>8</v>
      </c>
      <c r="N225" t="s">
        <v>2038</v>
      </c>
      <c r="O225" t="s">
        <v>10</v>
      </c>
      <c r="P225" t="s">
        <v>2132</v>
      </c>
    </row>
    <row r="226" spans="1:16" x14ac:dyDescent="0.2">
      <c r="A226" t="s">
        <v>2078</v>
      </c>
      <c r="B226">
        <v>14</v>
      </c>
      <c r="C226" t="s">
        <v>2059</v>
      </c>
      <c r="D226" t="s">
        <v>2066</v>
      </c>
      <c r="E226" t="s">
        <v>2079</v>
      </c>
      <c r="F226" t="s">
        <v>79</v>
      </c>
      <c r="I226">
        <v>91.596638655462201</v>
      </c>
      <c r="J226" t="s">
        <v>2063</v>
      </c>
      <c r="K226">
        <v>1</v>
      </c>
      <c r="L226">
        <v>1</v>
      </c>
      <c r="M226" t="s">
        <v>2052</v>
      </c>
      <c r="N226" t="s">
        <v>2714</v>
      </c>
      <c r="O226" t="s">
        <v>10</v>
      </c>
    </row>
    <row r="227" spans="1:16" x14ac:dyDescent="0.2">
      <c r="A227" t="s">
        <v>407</v>
      </c>
      <c r="B227">
        <v>330</v>
      </c>
      <c r="C227" t="s">
        <v>2059</v>
      </c>
      <c r="D227" t="s">
        <v>2069</v>
      </c>
      <c r="E227" t="s">
        <v>2070</v>
      </c>
      <c r="F227" t="s">
        <v>127</v>
      </c>
      <c r="I227">
        <v>91.620111731843593</v>
      </c>
      <c r="J227" t="s">
        <v>2063</v>
      </c>
      <c r="K227">
        <v>3</v>
      </c>
      <c r="L227">
        <v>1</v>
      </c>
      <c r="M227" t="s">
        <v>2052</v>
      </c>
      <c r="N227" t="s">
        <v>2714</v>
      </c>
      <c r="O227" t="s">
        <v>10</v>
      </c>
    </row>
    <row r="228" spans="1:16" x14ac:dyDescent="0.2">
      <c r="A228" t="s">
        <v>2707</v>
      </c>
      <c r="B228">
        <v>2518</v>
      </c>
      <c r="C228" t="s">
        <v>2059</v>
      </c>
      <c r="D228" t="s">
        <v>2069</v>
      </c>
      <c r="I228">
        <v>91.620111731843593</v>
      </c>
      <c r="J228" t="s">
        <v>2063</v>
      </c>
      <c r="K228">
        <v>1</v>
      </c>
      <c r="L228">
        <v>1</v>
      </c>
      <c r="M228" t="s">
        <v>2050</v>
      </c>
      <c r="N228" t="s">
        <v>2714</v>
      </c>
      <c r="O228" t="s">
        <v>10</v>
      </c>
    </row>
    <row r="229" spans="1:16" x14ac:dyDescent="0.2">
      <c r="A229" t="s">
        <v>486</v>
      </c>
      <c r="B229">
        <v>447</v>
      </c>
      <c r="C229" t="s">
        <v>2059</v>
      </c>
      <c r="D229" t="s">
        <v>2066</v>
      </c>
      <c r="E229" t="s">
        <v>2079</v>
      </c>
      <c r="F229" t="s">
        <v>1463</v>
      </c>
      <c r="I229">
        <v>91.620111731843593</v>
      </c>
      <c r="J229" t="s">
        <v>2063</v>
      </c>
      <c r="K229">
        <v>34</v>
      </c>
      <c r="L229">
        <v>0.68</v>
      </c>
      <c r="M229" t="s">
        <v>2052</v>
      </c>
      <c r="N229" t="s">
        <v>2714</v>
      </c>
      <c r="O229" t="s">
        <v>10</v>
      </c>
    </row>
    <row r="230" spans="1:16" hidden="1" x14ac:dyDescent="0.2">
      <c r="A230" t="s">
        <v>1472</v>
      </c>
      <c r="B230">
        <v>1812</v>
      </c>
      <c r="C230" t="s">
        <v>2059</v>
      </c>
      <c r="D230" t="s">
        <v>2066</v>
      </c>
      <c r="E230" t="s">
        <v>2091</v>
      </c>
      <c r="F230" t="s">
        <v>2547</v>
      </c>
      <c r="G230" t="s">
        <v>1473</v>
      </c>
      <c r="H230" t="s">
        <v>1474</v>
      </c>
      <c r="I230">
        <v>100</v>
      </c>
      <c r="J230" t="s">
        <v>2063</v>
      </c>
      <c r="K230">
        <v>3</v>
      </c>
      <c r="L230">
        <v>1</v>
      </c>
      <c r="M230" t="s">
        <v>8</v>
      </c>
      <c r="N230" t="s">
        <v>2038</v>
      </c>
      <c r="O230" t="s">
        <v>10</v>
      </c>
      <c r="P230" t="s">
        <v>2548</v>
      </c>
    </row>
    <row r="231" spans="1:16" hidden="1" x14ac:dyDescent="0.2">
      <c r="A231" t="s">
        <v>1575</v>
      </c>
      <c r="B231">
        <v>1932</v>
      </c>
      <c r="C231" t="s">
        <v>2059</v>
      </c>
      <c r="D231" t="s">
        <v>2066</v>
      </c>
      <c r="E231" t="s">
        <v>2091</v>
      </c>
      <c r="F231" t="s">
        <v>2547</v>
      </c>
      <c r="G231" t="s">
        <v>1473</v>
      </c>
      <c r="H231" t="s">
        <v>1474</v>
      </c>
      <c r="I231">
        <v>98.895027624309407</v>
      </c>
      <c r="J231" t="s">
        <v>2063</v>
      </c>
      <c r="K231">
        <v>3</v>
      </c>
      <c r="L231">
        <v>1</v>
      </c>
      <c r="M231" t="s">
        <v>8</v>
      </c>
      <c r="N231" t="s">
        <v>2038</v>
      </c>
      <c r="O231" t="s">
        <v>10</v>
      </c>
      <c r="P231" t="s">
        <v>2548</v>
      </c>
    </row>
    <row r="232" spans="1:16" hidden="1" x14ac:dyDescent="0.2">
      <c r="A232" t="s">
        <v>1646</v>
      </c>
      <c r="B232">
        <v>2013</v>
      </c>
      <c r="C232" t="s">
        <v>2059</v>
      </c>
      <c r="D232" t="s">
        <v>2066</v>
      </c>
      <c r="E232" t="s">
        <v>2091</v>
      </c>
      <c r="F232" t="s">
        <v>2547</v>
      </c>
      <c r="G232" t="s">
        <v>1473</v>
      </c>
      <c r="H232" t="s">
        <v>1474</v>
      </c>
      <c r="I232">
        <v>99.447513812154696</v>
      </c>
      <c r="J232" t="s">
        <v>2063</v>
      </c>
      <c r="K232">
        <v>3</v>
      </c>
      <c r="L232">
        <v>1</v>
      </c>
      <c r="M232" t="s">
        <v>8</v>
      </c>
      <c r="N232" t="s">
        <v>2038</v>
      </c>
      <c r="O232" t="s">
        <v>10</v>
      </c>
      <c r="P232" t="s">
        <v>2548</v>
      </c>
    </row>
    <row r="233" spans="1:16" hidden="1" x14ac:dyDescent="0.2">
      <c r="A233" t="s">
        <v>1166</v>
      </c>
      <c r="B233">
        <v>1400</v>
      </c>
      <c r="C233" t="s">
        <v>2059</v>
      </c>
      <c r="D233" t="s">
        <v>2066</v>
      </c>
      <c r="E233" t="s">
        <v>2091</v>
      </c>
      <c r="F233" t="s">
        <v>2470</v>
      </c>
      <c r="G233" t="s">
        <v>1167</v>
      </c>
      <c r="H233" t="s">
        <v>1168</v>
      </c>
      <c r="I233">
        <v>100</v>
      </c>
      <c r="J233" t="s">
        <v>2063</v>
      </c>
      <c r="K233">
        <v>50</v>
      </c>
      <c r="L233">
        <v>1</v>
      </c>
      <c r="M233" t="s">
        <v>8</v>
      </c>
      <c r="N233" t="s">
        <v>2038</v>
      </c>
      <c r="O233" t="s">
        <v>10</v>
      </c>
      <c r="P233" t="s">
        <v>2471</v>
      </c>
    </row>
    <row r="234" spans="1:16" hidden="1" x14ac:dyDescent="0.2">
      <c r="A234" t="s">
        <v>1341</v>
      </c>
      <c r="B234">
        <v>1587</v>
      </c>
      <c r="C234" t="s">
        <v>2059</v>
      </c>
      <c r="D234" t="s">
        <v>2066</v>
      </c>
      <c r="E234" t="s">
        <v>2091</v>
      </c>
      <c r="F234" t="s">
        <v>2470</v>
      </c>
      <c r="G234" t="s">
        <v>1167</v>
      </c>
      <c r="H234" t="s">
        <v>1168</v>
      </c>
      <c r="I234">
        <v>99.4444444444444</v>
      </c>
      <c r="J234" t="s">
        <v>2063</v>
      </c>
      <c r="K234">
        <v>50</v>
      </c>
      <c r="L234">
        <v>1</v>
      </c>
      <c r="M234" t="s">
        <v>8</v>
      </c>
      <c r="N234" t="s">
        <v>2038</v>
      </c>
      <c r="O234" t="s">
        <v>10</v>
      </c>
      <c r="P234" t="s">
        <v>2471</v>
      </c>
    </row>
    <row r="235" spans="1:16" hidden="1" x14ac:dyDescent="0.2">
      <c r="A235" t="s">
        <v>1518</v>
      </c>
      <c r="B235">
        <v>1874</v>
      </c>
      <c r="C235" t="s">
        <v>2059</v>
      </c>
      <c r="D235" t="s">
        <v>2066</v>
      </c>
      <c r="E235" t="s">
        <v>2091</v>
      </c>
      <c r="F235" t="s">
        <v>2470</v>
      </c>
      <c r="I235">
        <v>94.252873563218401</v>
      </c>
      <c r="J235" t="s">
        <v>2063</v>
      </c>
      <c r="K235">
        <v>24</v>
      </c>
      <c r="L235">
        <v>0.48979591836734698</v>
      </c>
      <c r="M235" t="s">
        <v>2052</v>
      </c>
      <c r="N235" t="s">
        <v>2037</v>
      </c>
      <c r="O235" t="s">
        <v>10</v>
      </c>
    </row>
    <row r="236" spans="1:16" hidden="1" x14ac:dyDescent="0.2">
      <c r="A236" t="s">
        <v>1690</v>
      </c>
      <c r="B236">
        <v>2095</v>
      </c>
      <c r="C236" t="s">
        <v>2059</v>
      </c>
      <c r="D236" t="s">
        <v>2066</v>
      </c>
      <c r="E236" t="s">
        <v>2091</v>
      </c>
      <c r="F236" t="s">
        <v>2470</v>
      </c>
      <c r="I236">
        <v>94.413407821229001</v>
      </c>
      <c r="J236" t="s">
        <v>2063</v>
      </c>
      <c r="K236">
        <v>38</v>
      </c>
      <c r="L236">
        <v>0.77551020408163296</v>
      </c>
      <c r="M236" t="s">
        <v>2052</v>
      </c>
      <c r="N236" t="s">
        <v>2037</v>
      </c>
      <c r="O236" t="s">
        <v>10</v>
      </c>
    </row>
    <row r="237" spans="1:16" hidden="1" x14ac:dyDescent="0.2">
      <c r="A237" t="s">
        <v>2701</v>
      </c>
      <c r="B237">
        <v>2504</v>
      </c>
      <c r="C237" t="s">
        <v>2059</v>
      </c>
      <c r="D237" t="s">
        <v>2066</v>
      </c>
      <c r="E237" t="s">
        <v>2091</v>
      </c>
      <c r="F237" t="s">
        <v>2470</v>
      </c>
      <c r="I237">
        <v>94.318181818181799</v>
      </c>
      <c r="J237" t="s">
        <v>2063</v>
      </c>
      <c r="K237">
        <v>16</v>
      </c>
      <c r="L237">
        <v>0.32</v>
      </c>
      <c r="M237" t="s">
        <v>2052</v>
      </c>
      <c r="N237" t="s">
        <v>2037</v>
      </c>
      <c r="O237" t="s">
        <v>10</v>
      </c>
    </row>
    <row r="238" spans="1:16" x14ac:dyDescent="0.2">
      <c r="A238" t="s">
        <v>1813</v>
      </c>
      <c r="B238">
        <v>2230</v>
      </c>
      <c r="C238" t="s">
        <v>2059</v>
      </c>
      <c r="D238" t="s">
        <v>2066</v>
      </c>
      <c r="E238" t="s">
        <v>2067</v>
      </c>
      <c r="F238" t="s">
        <v>2072</v>
      </c>
      <c r="I238">
        <v>91.620111731843593</v>
      </c>
      <c r="J238" t="s">
        <v>2113</v>
      </c>
      <c r="K238">
        <v>55</v>
      </c>
      <c r="L238">
        <v>1</v>
      </c>
      <c r="M238" t="s">
        <v>2052</v>
      </c>
      <c r="N238" t="s">
        <v>2714</v>
      </c>
      <c r="O238" t="s">
        <v>10</v>
      </c>
    </row>
    <row r="239" spans="1:16" x14ac:dyDescent="0.2">
      <c r="A239" t="s">
        <v>2691</v>
      </c>
      <c r="B239">
        <v>2420</v>
      </c>
      <c r="C239" t="s">
        <v>2059</v>
      </c>
      <c r="D239" t="s">
        <v>2066</v>
      </c>
      <c r="E239" t="s">
        <v>2067</v>
      </c>
      <c r="F239" t="s">
        <v>2072</v>
      </c>
      <c r="I239">
        <v>91.620111731843593</v>
      </c>
      <c r="J239" t="s">
        <v>2063</v>
      </c>
      <c r="K239">
        <v>48</v>
      </c>
      <c r="L239">
        <v>1</v>
      </c>
      <c r="M239" t="s">
        <v>2052</v>
      </c>
      <c r="N239" t="s">
        <v>2714</v>
      </c>
      <c r="O239" t="s">
        <v>10</v>
      </c>
    </row>
    <row r="240" spans="1:16" x14ac:dyDescent="0.2">
      <c r="A240" t="s">
        <v>1570</v>
      </c>
      <c r="B240">
        <v>1926</v>
      </c>
      <c r="C240" t="s">
        <v>2059</v>
      </c>
      <c r="D240" t="s">
        <v>2066</v>
      </c>
      <c r="E240" t="s">
        <v>2067</v>
      </c>
      <c r="F240" t="s">
        <v>2214</v>
      </c>
      <c r="I240">
        <v>91.620111731843593</v>
      </c>
      <c r="J240" t="s">
        <v>2063</v>
      </c>
      <c r="K240">
        <v>50</v>
      </c>
      <c r="L240">
        <v>1</v>
      </c>
      <c r="M240" t="s">
        <v>2052</v>
      </c>
      <c r="N240" t="s">
        <v>2714</v>
      </c>
      <c r="O240" t="s">
        <v>10</v>
      </c>
    </row>
    <row r="241" spans="1:15" x14ac:dyDescent="0.2">
      <c r="A241" t="s">
        <v>2358</v>
      </c>
      <c r="B241">
        <v>887</v>
      </c>
      <c r="C241" t="s">
        <v>2059</v>
      </c>
      <c r="D241" t="s">
        <v>2069</v>
      </c>
      <c r="E241" t="s">
        <v>2070</v>
      </c>
      <c r="F241" t="s">
        <v>127</v>
      </c>
      <c r="I241">
        <v>91.6666666666667</v>
      </c>
      <c r="J241" t="s">
        <v>2063</v>
      </c>
      <c r="K241">
        <v>1</v>
      </c>
      <c r="L241">
        <v>1</v>
      </c>
      <c r="M241" t="s">
        <v>2052</v>
      </c>
      <c r="N241" t="s">
        <v>2714</v>
      </c>
      <c r="O241" t="s">
        <v>10</v>
      </c>
    </row>
    <row r="242" spans="1:15" x14ac:dyDescent="0.2">
      <c r="A242" t="s">
        <v>866</v>
      </c>
      <c r="B242">
        <v>941</v>
      </c>
      <c r="C242" t="s">
        <v>2059</v>
      </c>
      <c r="D242" t="s">
        <v>2069</v>
      </c>
      <c r="E242" t="s">
        <v>2070</v>
      </c>
      <c r="F242" t="s">
        <v>127</v>
      </c>
      <c r="I242">
        <v>91.6666666666667</v>
      </c>
      <c r="J242" t="s">
        <v>2063</v>
      </c>
      <c r="K242">
        <v>3</v>
      </c>
      <c r="L242">
        <v>1</v>
      </c>
      <c r="M242" t="s">
        <v>2052</v>
      </c>
      <c r="N242" t="s">
        <v>2714</v>
      </c>
      <c r="O242" t="s">
        <v>10</v>
      </c>
    </row>
    <row r="243" spans="1:15" x14ac:dyDescent="0.2">
      <c r="A243" t="s">
        <v>961</v>
      </c>
      <c r="B243">
        <v>1081</v>
      </c>
      <c r="C243" t="s">
        <v>2059</v>
      </c>
      <c r="D243" t="s">
        <v>2060</v>
      </c>
      <c r="E243" t="s">
        <v>2061</v>
      </c>
      <c r="F243" t="s">
        <v>2062</v>
      </c>
      <c r="I243">
        <v>91.6666666666667</v>
      </c>
      <c r="J243" t="s">
        <v>2063</v>
      </c>
      <c r="K243">
        <v>52</v>
      </c>
      <c r="L243">
        <v>1</v>
      </c>
      <c r="M243" t="s">
        <v>2052</v>
      </c>
      <c r="N243" t="s">
        <v>2714</v>
      </c>
      <c r="O243" t="s">
        <v>10</v>
      </c>
    </row>
    <row r="244" spans="1:15" x14ac:dyDescent="0.2">
      <c r="A244" t="s">
        <v>2694</v>
      </c>
      <c r="B244">
        <v>2447</v>
      </c>
      <c r="C244" t="s">
        <v>2059</v>
      </c>
      <c r="D244" t="s">
        <v>2066</v>
      </c>
      <c r="E244" t="s">
        <v>2091</v>
      </c>
      <c r="F244" t="s">
        <v>2151</v>
      </c>
      <c r="I244">
        <v>91.6666666666667</v>
      </c>
      <c r="J244" t="s">
        <v>2063</v>
      </c>
      <c r="K244">
        <v>50</v>
      </c>
      <c r="L244">
        <v>1</v>
      </c>
      <c r="M244" t="s">
        <v>2052</v>
      </c>
      <c r="N244" t="s">
        <v>2714</v>
      </c>
      <c r="O244" t="s">
        <v>10</v>
      </c>
    </row>
    <row r="245" spans="1:15" x14ac:dyDescent="0.2">
      <c r="A245" t="s">
        <v>2504</v>
      </c>
      <c r="B245">
        <v>1547</v>
      </c>
      <c r="C245" t="s">
        <v>2059</v>
      </c>
      <c r="D245" t="s">
        <v>2066</v>
      </c>
      <c r="E245" t="s">
        <v>2067</v>
      </c>
      <c r="F245" t="s">
        <v>276</v>
      </c>
      <c r="I245">
        <v>91.6666666666667</v>
      </c>
      <c r="J245" t="s">
        <v>2063</v>
      </c>
      <c r="K245">
        <v>6</v>
      </c>
      <c r="L245">
        <v>1</v>
      </c>
      <c r="M245" t="s">
        <v>2052</v>
      </c>
      <c r="N245" t="s">
        <v>2714</v>
      </c>
      <c r="O245" t="s">
        <v>10</v>
      </c>
    </row>
    <row r="246" spans="1:15" x14ac:dyDescent="0.2">
      <c r="A246" t="s">
        <v>2700</v>
      </c>
      <c r="B246">
        <v>2492</v>
      </c>
      <c r="C246" t="s">
        <v>2059</v>
      </c>
      <c r="D246" t="s">
        <v>2066</v>
      </c>
      <c r="E246" t="s">
        <v>2067</v>
      </c>
      <c r="F246" t="s">
        <v>276</v>
      </c>
      <c r="I246">
        <v>91.6666666666667</v>
      </c>
      <c r="J246" t="s">
        <v>2063</v>
      </c>
      <c r="K246">
        <v>3</v>
      </c>
      <c r="L246">
        <v>1</v>
      </c>
      <c r="M246" t="s">
        <v>2052</v>
      </c>
      <c r="N246" t="s">
        <v>2714</v>
      </c>
      <c r="O246" t="s">
        <v>10</v>
      </c>
    </row>
    <row r="247" spans="1:15" x14ac:dyDescent="0.2">
      <c r="A247" t="s">
        <v>2458</v>
      </c>
      <c r="B247">
        <v>1321</v>
      </c>
      <c r="C247" t="s">
        <v>2059</v>
      </c>
      <c r="D247" t="s">
        <v>2066</v>
      </c>
      <c r="E247" t="s">
        <v>2080</v>
      </c>
      <c r="F247" t="s">
        <v>1764</v>
      </c>
      <c r="I247">
        <v>91.6666666666667</v>
      </c>
      <c r="J247" t="s">
        <v>2113</v>
      </c>
      <c r="K247">
        <v>1</v>
      </c>
      <c r="L247">
        <v>1</v>
      </c>
      <c r="M247" t="s">
        <v>2052</v>
      </c>
      <c r="N247" t="s">
        <v>2714</v>
      </c>
      <c r="O247" t="s">
        <v>10</v>
      </c>
    </row>
    <row r="248" spans="1:15" x14ac:dyDescent="0.2">
      <c r="A248" t="s">
        <v>482</v>
      </c>
      <c r="B248">
        <v>432</v>
      </c>
      <c r="C248" t="s">
        <v>2059</v>
      </c>
      <c r="D248" t="s">
        <v>2066</v>
      </c>
      <c r="E248" t="s">
        <v>2090</v>
      </c>
      <c r="F248" t="s">
        <v>46</v>
      </c>
      <c r="I248">
        <v>91.6666666666667</v>
      </c>
      <c r="J248" t="s">
        <v>2063</v>
      </c>
      <c r="K248">
        <v>24</v>
      </c>
      <c r="L248">
        <v>0.6</v>
      </c>
      <c r="M248" t="s">
        <v>2052</v>
      </c>
      <c r="N248" t="s">
        <v>2714</v>
      </c>
      <c r="O248" t="s">
        <v>10</v>
      </c>
    </row>
    <row r="249" spans="1:15" x14ac:dyDescent="0.2">
      <c r="A249" t="s">
        <v>2349</v>
      </c>
      <c r="B249">
        <v>845</v>
      </c>
      <c r="C249" t="s">
        <v>2059</v>
      </c>
      <c r="I249">
        <v>91.6666666666667</v>
      </c>
      <c r="J249" t="s">
        <v>2063</v>
      </c>
      <c r="K249">
        <v>1</v>
      </c>
      <c r="L249">
        <v>1</v>
      </c>
      <c r="M249" t="s">
        <v>2049</v>
      </c>
      <c r="N249" t="s">
        <v>2714</v>
      </c>
      <c r="O249" t="s">
        <v>10</v>
      </c>
    </row>
    <row r="250" spans="1:15" x14ac:dyDescent="0.2">
      <c r="A250" t="s">
        <v>1006</v>
      </c>
      <c r="B250">
        <v>1164</v>
      </c>
      <c r="C250" t="s">
        <v>2059</v>
      </c>
      <c r="D250" t="s">
        <v>2069</v>
      </c>
      <c r="E250" t="s">
        <v>2070</v>
      </c>
      <c r="F250" t="s">
        <v>127</v>
      </c>
      <c r="I250">
        <v>91.712707182320401</v>
      </c>
      <c r="J250" t="s">
        <v>2063</v>
      </c>
      <c r="K250">
        <v>7</v>
      </c>
      <c r="L250">
        <v>1</v>
      </c>
      <c r="M250" t="s">
        <v>2052</v>
      </c>
      <c r="N250" t="s">
        <v>2714</v>
      </c>
      <c r="O250" t="s">
        <v>10</v>
      </c>
    </row>
    <row r="251" spans="1:15" x14ac:dyDescent="0.2">
      <c r="A251" t="s">
        <v>1272</v>
      </c>
      <c r="B251">
        <v>1534</v>
      </c>
      <c r="C251" t="s">
        <v>2059</v>
      </c>
      <c r="D251" t="s">
        <v>2069</v>
      </c>
      <c r="E251" t="s">
        <v>2070</v>
      </c>
      <c r="F251" t="s">
        <v>127</v>
      </c>
      <c r="I251">
        <v>91.712707182320401</v>
      </c>
      <c r="J251" t="s">
        <v>2063</v>
      </c>
      <c r="K251">
        <v>2</v>
      </c>
      <c r="L251">
        <v>1</v>
      </c>
      <c r="M251" t="s">
        <v>2052</v>
      </c>
      <c r="N251" t="s">
        <v>2714</v>
      </c>
      <c r="O251" t="s">
        <v>10</v>
      </c>
    </row>
    <row r="252" spans="1:15" x14ac:dyDescent="0.2">
      <c r="A252" t="s">
        <v>2472</v>
      </c>
      <c r="B252">
        <v>1404</v>
      </c>
      <c r="C252" t="s">
        <v>2059</v>
      </c>
      <c r="D252" t="s">
        <v>2066</v>
      </c>
      <c r="E252" t="s">
        <v>2079</v>
      </c>
      <c r="I252">
        <v>91.712707182320401</v>
      </c>
      <c r="J252" t="s">
        <v>2113</v>
      </c>
      <c r="K252">
        <v>1</v>
      </c>
      <c r="L252">
        <v>1</v>
      </c>
      <c r="M252" t="s">
        <v>2051</v>
      </c>
      <c r="N252" t="s">
        <v>2714</v>
      </c>
      <c r="O252" t="s">
        <v>10</v>
      </c>
    </row>
    <row r="253" spans="1:15" x14ac:dyDescent="0.2">
      <c r="A253" t="s">
        <v>794</v>
      </c>
      <c r="B253">
        <v>843</v>
      </c>
      <c r="C253" t="s">
        <v>2059</v>
      </c>
      <c r="D253" t="s">
        <v>2066</v>
      </c>
      <c r="E253" t="s">
        <v>2067</v>
      </c>
      <c r="F253" t="s">
        <v>276</v>
      </c>
      <c r="I253">
        <v>91.712707182320401</v>
      </c>
      <c r="J253" t="s">
        <v>2063</v>
      </c>
      <c r="K253">
        <v>19</v>
      </c>
      <c r="L253">
        <v>1</v>
      </c>
      <c r="M253" t="s">
        <v>2052</v>
      </c>
      <c r="N253" t="s">
        <v>2714</v>
      </c>
      <c r="O253" t="s">
        <v>10</v>
      </c>
    </row>
    <row r="254" spans="1:15" x14ac:dyDescent="0.2">
      <c r="A254" t="s">
        <v>795</v>
      </c>
      <c r="B254">
        <v>847</v>
      </c>
      <c r="C254" t="s">
        <v>2059</v>
      </c>
      <c r="D254" t="s">
        <v>2066</v>
      </c>
      <c r="E254" t="s">
        <v>2067</v>
      </c>
      <c r="F254" t="s">
        <v>276</v>
      </c>
      <c r="I254">
        <v>91.712707182320401</v>
      </c>
      <c r="J254" t="s">
        <v>2063</v>
      </c>
      <c r="K254">
        <v>19</v>
      </c>
      <c r="L254">
        <v>1</v>
      </c>
      <c r="M254" t="s">
        <v>2052</v>
      </c>
      <c r="N254" t="s">
        <v>2714</v>
      </c>
      <c r="O254" t="s">
        <v>10</v>
      </c>
    </row>
    <row r="255" spans="1:15" x14ac:dyDescent="0.2">
      <c r="A255" t="s">
        <v>1036</v>
      </c>
      <c r="B255">
        <v>1218</v>
      </c>
      <c r="C255" t="s">
        <v>2059</v>
      </c>
      <c r="D255" t="s">
        <v>2066</v>
      </c>
      <c r="E255" t="s">
        <v>2067</v>
      </c>
      <c r="F255" t="s">
        <v>276</v>
      </c>
      <c r="I255">
        <v>91.712707182320401</v>
      </c>
      <c r="J255" t="s">
        <v>2063</v>
      </c>
      <c r="K255">
        <v>19</v>
      </c>
      <c r="L255">
        <v>1</v>
      </c>
      <c r="M255" t="s">
        <v>2052</v>
      </c>
      <c r="N255" t="s">
        <v>2714</v>
      </c>
      <c r="O255" t="s">
        <v>10</v>
      </c>
    </row>
    <row r="256" spans="1:15" x14ac:dyDescent="0.2">
      <c r="A256" t="s">
        <v>2549</v>
      </c>
      <c r="B256">
        <v>1814</v>
      </c>
      <c r="C256" t="s">
        <v>2059</v>
      </c>
      <c r="D256" t="s">
        <v>2066</v>
      </c>
      <c r="E256" t="s">
        <v>2091</v>
      </c>
      <c r="I256">
        <v>91.758241758241795</v>
      </c>
      <c r="J256" t="s">
        <v>2063</v>
      </c>
      <c r="K256">
        <v>1</v>
      </c>
      <c r="L256">
        <v>1</v>
      </c>
      <c r="M256" t="s">
        <v>2051</v>
      </c>
      <c r="N256" t="s">
        <v>2714</v>
      </c>
      <c r="O256" t="s">
        <v>10</v>
      </c>
    </row>
    <row r="257" spans="1:16" x14ac:dyDescent="0.2">
      <c r="A257" t="s">
        <v>2334</v>
      </c>
      <c r="B257">
        <v>759</v>
      </c>
      <c r="C257" t="s">
        <v>2059</v>
      </c>
      <c r="D257" t="s">
        <v>2069</v>
      </c>
      <c r="E257" t="s">
        <v>2127</v>
      </c>
      <c r="F257" t="s">
        <v>2150</v>
      </c>
      <c r="I257">
        <v>91.818181818181799</v>
      </c>
      <c r="J257" t="s">
        <v>2063</v>
      </c>
      <c r="K257">
        <v>1</v>
      </c>
      <c r="L257">
        <v>1</v>
      </c>
      <c r="M257" t="s">
        <v>2052</v>
      </c>
      <c r="N257" t="s">
        <v>2714</v>
      </c>
      <c r="O257" t="s">
        <v>10</v>
      </c>
    </row>
    <row r="258" spans="1:16" hidden="1" x14ac:dyDescent="0.2">
      <c r="A258" t="s">
        <v>945</v>
      </c>
      <c r="B258">
        <v>1062</v>
      </c>
      <c r="C258" t="s">
        <v>2059</v>
      </c>
      <c r="D258" t="s">
        <v>2066</v>
      </c>
      <c r="E258" t="s">
        <v>2405</v>
      </c>
      <c r="F258" t="s">
        <v>2406</v>
      </c>
      <c r="G258" t="s">
        <v>948</v>
      </c>
      <c r="H258" t="s">
        <v>949</v>
      </c>
      <c r="I258">
        <v>98.895027624309407</v>
      </c>
      <c r="J258" t="s">
        <v>2063</v>
      </c>
      <c r="K258">
        <v>3</v>
      </c>
      <c r="L258">
        <v>1</v>
      </c>
      <c r="M258" t="s">
        <v>8</v>
      </c>
      <c r="N258" t="s">
        <v>2038</v>
      </c>
      <c r="O258" t="s">
        <v>10</v>
      </c>
      <c r="P258" t="s">
        <v>2407</v>
      </c>
    </row>
    <row r="259" spans="1:16" hidden="1" x14ac:dyDescent="0.2">
      <c r="A259" t="s">
        <v>1015</v>
      </c>
      <c r="B259">
        <v>1191</v>
      </c>
      <c r="C259" t="s">
        <v>2059</v>
      </c>
      <c r="D259" t="s">
        <v>2066</v>
      </c>
      <c r="E259" t="s">
        <v>2405</v>
      </c>
      <c r="F259" t="s">
        <v>2406</v>
      </c>
      <c r="G259" t="s">
        <v>948</v>
      </c>
      <c r="H259" t="s">
        <v>949</v>
      </c>
      <c r="I259">
        <v>98.895027624309407</v>
      </c>
      <c r="J259" t="s">
        <v>2063</v>
      </c>
      <c r="K259">
        <v>3</v>
      </c>
      <c r="L259">
        <v>1</v>
      </c>
      <c r="M259" t="s">
        <v>8</v>
      </c>
      <c r="N259" t="s">
        <v>2038</v>
      </c>
      <c r="O259" t="s">
        <v>10</v>
      </c>
      <c r="P259" t="s">
        <v>2407</v>
      </c>
    </row>
    <row r="260" spans="1:16" hidden="1" x14ac:dyDescent="0.2">
      <c r="A260" t="s">
        <v>1017</v>
      </c>
      <c r="B260">
        <v>1194</v>
      </c>
      <c r="C260" t="s">
        <v>2059</v>
      </c>
      <c r="D260" t="s">
        <v>2066</v>
      </c>
      <c r="E260" t="s">
        <v>2405</v>
      </c>
      <c r="F260" t="s">
        <v>2406</v>
      </c>
      <c r="G260" t="s">
        <v>948</v>
      </c>
      <c r="H260" t="s">
        <v>949</v>
      </c>
      <c r="I260">
        <v>98.895027624309407</v>
      </c>
      <c r="J260" t="s">
        <v>2063</v>
      </c>
      <c r="K260">
        <v>3</v>
      </c>
      <c r="L260">
        <v>1</v>
      </c>
      <c r="M260" t="s">
        <v>8</v>
      </c>
      <c r="N260" t="s">
        <v>2038</v>
      </c>
      <c r="O260" t="s">
        <v>10</v>
      </c>
      <c r="P260" t="s">
        <v>2407</v>
      </c>
    </row>
    <row r="261" spans="1:16" hidden="1" x14ac:dyDescent="0.2">
      <c r="A261" t="s">
        <v>1126</v>
      </c>
      <c r="B261">
        <v>1333</v>
      </c>
      <c r="C261" t="s">
        <v>2059</v>
      </c>
      <c r="D261" t="s">
        <v>2066</v>
      </c>
      <c r="E261" t="s">
        <v>2405</v>
      </c>
      <c r="F261" t="s">
        <v>2406</v>
      </c>
      <c r="G261" t="s">
        <v>948</v>
      </c>
      <c r="H261" t="s">
        <v>949</v>
      </c>
      <c r="I261">
        <v>100</v>
      </c>
      <c r="J261" t="s">
        <v>2063</v>
      </c>
      <c r="K261">
        <v>3</v>
      </c>
      <c r="L261">
        <v>1</v>
      </c>
      <c r="M261" t="s">
        <v>8</v>
      </c>
      <c r="N261" t="s">
        <v>2038</v>
      </c>
      <c r="O261" t="s">
        <v>10</v>
      </c>
      <c r="P261" t="s">
        <v>2407</v>
      </c>
    </row>
    <row r="262" spans="1:16" x14ac:dyDescent="0.2">
      <c r="A262" t="s">
        <v>2143</v>
      </c>
      <c r="B262">
        <v>125</v>
      </c>
      <c r="C262" t="s">
        <v>2059</v>
      </c>
      <c r="D262" t="s">
        <v>2066</v>
      </c>
      <c r="E262" t="s">
        <v>2074</v>
      </c>
      <c r="F262" t="s">
        <v>2144</v>
      </c>
      <c r="I262">
        <v>91.836734693877503</v>
      </c>
      <c r="J262" t="s">
        <v>2113</v>
      </c>
      <c r="K262">
        <v>39</v>
      </c>
      <c r="L262">
        <v>1</v>
      </c>
      <c r="M262" t="s">
        <v>2052</v>
      </c>
      <c r="N262" t="s">
        <v>2714</v>
      </c>
      <c r="O262" t="s">
        <v>10</v>
      </c>
    </row>
    <row r="263" spans="1:16" hidden="1" x14ac:dyDescent="0.2">
      <c r="A263" t="s">
        <v>1280</v>
      </c>
      <c r="B263">
        <v>1541</v>
      </c>
      <c r="C263" t="s">
        <v>2059</v>
      </c>
      <c r="D263" t="s">
        <v>2066</v>
      </c>
      <c r="E263" t="s">
        <v>2079</v>
      </c>
      <c r="F263" t="s">
        <v>461</v>
      </c>
      <c r="G263" t="s">
        <v>462</v>
      </c>
      <c r="H263" t="s">
        <v>2500</v>
      </c>
      <c r="I263">
        <v>100</v>
      </c>
      <c r="J263" t="s">
        <v>2063</v>
      </c>
      <c r="K263">
        <v>52</v>
      </c>
      <c r="L263">
        <v>1</v>
      </c>
      <c r="M263" t="s">
        <v>8</v>
      </c>
      <c r="N263" t="s">
        <v>2038</v>
      </c>
      <c r="O263" t="s">
        <v>10</v>
      </c>
      <c r="P263" t="s">
        <v>2501</v>
      </c>
    </row>
    <row r="264" spans="1:16" hidden="1" x14ac:dyDescent="0.2">
      <c r="A264" t="s">
        <v>1823</v>
      </c>
      <c r="B264">
        <v>2246</v>
      </c>
      <c r="C264" t="s">
        <v>2059</v>
      </c>
      <c r="D264" t="s">
        <v>2066</v>
      </c>
      <c r="E264" t="s">
        <v>2079</v>
      </c>
      <c r="F264" t="s">
        <v>461</v>
      </c>
      <c r="G264" t="s">
        <v>462</v>
      </c>
      <c r="H264" t="s">
        <v>2500</v>
      </c>
      <c r="I264">
        <v>99.447513812154696</v>
      </c>
      <c r="J264" t="s">
        <v>2063</v>
      </c>
      <c r="K264">
        <v>52</v>
      </c>
      <c r="L264">
        <v>1</v>
      </c>
      <c r="M264" t="s">
        <v>8</v>
      </c>
      <c r="N264" t="s">
        <v>2038</v>
      </c>
      <c r="O264" t="s">
        <v>10</v>
      </c>
      <c r="P264" t="s">
        <v>2501</v>
      </c>
    </row>
    <row r="265" spans="1:16" hidden="1" x14ac:dyDescent="0.2">
      <c r="A265" t="s">
        <v>569</v>
      </c>
      <c r="B265">
        <v>576</v>
      </c>
      <c r="C265" t="s">
        <v>2059</v>
      </c>
      <c r="D265" t="s">
        <v>2066</v>
      </c>
      <c r="E265" t="s">
        <v>2079</v>
      </c>
      <c r="F265" t="s">
        <v>461</v>
      </c>
      <c r="G265" t="s">
        <v>570</v>
      </c>
      <c r="H265" t="s">
        <v>571</v>
      </c>
      <c r="I265">
        <v>100</v>
      </c>
      <c r="J265" t="s">
        <v>2063</v>
      </c>
      <c r="K265">
        <v>47</v>
      </c>
      <c r="L265">
        <v>1</v>
      </c>
      <c r="M265" t="s">
        <v>8</v>
      </c>
      <c r="N265" t="s">
        <v>2038</v>
      </c>
      <c r="O265" t="s">
        <v>10</v>
      </c>
      <c r="P265" t="s">
        <v>2279</v>
      </c>
    </row>
    <row r="266" spans="1:16" x14ac:dyDescent="0.2">
      <c r="A266" t="s">
        <v>2574</v>
      </c>
      <c r="B266">
        <v>1910</v>
      </c>
      <c r="C266" t="s">
        <v>2059</v>
      </c>
      <c r="D266" t="s">
        <v>2066</v>
      </c>
      <c r="E266" t="s">
        <v>2079</v>
      </c>
      <c r="I266">
        <v>91.847826086956502</v>
      </c>
      <c r="J266" t="s">
        <v>2113</v>
      </c>
      <c r="K266">
        <v>1</v>
      </c>
      <c r="L266">
        <v>1</v>
      </c>
      <c r="M266" t="s">
        <v>2051</v>
      </c>
      <c r="N266" t="s">
        <v>2714</v>
      </c>
      <c r="O266" t="s">
        <v>10</v>
      </c>
    </row>
    <row r="267" spans="1:16" x14ac:dyDescent="0.2">
      <c r="A267" t="s">
        <v>2594</v>
      </c>
      <c r="B267">
        <v>2001</v>
      </c>
      <c r="C267" t="s">
        <v>2059</v>
      </c>
      <c r="I267">
        <v>91.847826086956502</v>
      </c>
      <c r="J267" t="s">
        <v>2063</v>
      </c>
      <c r="K267">
        <v>1</v>
      </c>
      <c r="L267">
        <v>1</v>
      </c>
      <c r="M267" t="s">
        <v>2049</v>
      </c>
      <c r="N267" t="s">
        <v>2714</v>
      </c>
      <c r="O267" t="s">
        <v>10</v>
      </c>
    </row>
    <row r="268" spans="1:16" x14ac:dyDescent="0.2">
      <c r="A268" t="s">
        <v>2597</v>
      </c>
      <c r="B268">
        <v>2020</v>
      </c>
      <c r="C268" t="s">
        <v>2059</v>
      </c>
      <c r="I268">
        <v>91.891891891891902</v>
      </c>
      <c r="J268" t="s">
        <v>2063</v>
      </c>
      <c r="K268">
        <v>1</v>
      </c>
      <c r="L268">
        <v>1</v>
      </c>
      <c r="M268" t="s">
        <v>2049</v>
      </c>
      <c r="N268" t="s">
        <v>2714</v>
      </c>
      <c r="O268" t="s">
        <v>10</v>
      </c>
    </row>
    <row r="269" spans="1:16" x14ac:dyDescent="0.2">
      <c r="A269" t="s">
        <v>2195</v>
      </c>
      <c r="B269">
        <v>284</v>
      </c>
      <c r="C269" t="s">
        <v>2059</v>
      </c>
      <c r="D269" t="s">
        <v>2066</v>
      </c>
      <c r="E269" t="s">
        <v>2080</v>
      </c>
      <c r="F269" t="s">
        <v>2081</v>
      </c>
      <c r="I269">
        <v>91.911764705882305</v>
      </c>
      <c r="J269" t="s">
        <v>2063</v>
      </c>
      <c r="K269">
        <v>11</v>
      </c>
      <c r="L269">
        <v>1</v>
      </c>
      <c r="M269" t="s">
        <v>2052</v>
      </c>
      <c r="N269" t="s">
        <v>2714</v>
      </c>
      <c r="O269" t="s">
        <v>2040</v>
      </c>
    </row>
    <row r="270" spans="1:16" x14ac:dyDescent="0.2">
      <c r="A270" t="s">
        <v>2204</v>
      </c>
      <c r="B270">
        <v>295</v>
      </c>
      <c r="C270" t="s">
        <v>2059</v>
      </c>
      <c r="D270" t="s">
        <v>2066</v>
      </c>
      <c r="E270" t="s">
        <v>2091</v>
      </c>
      <c r="I270">
        <v>91.935483870967701</v>
      </c>
      <c r="J270" t="s">
        <v>2063</v>
      </c>
      <c r="K270">
        <v>1</v>
      </c>
      <c r="L270">
        <v>1</v>
      </c>
      <c r="M270" t="s">
        <v>2051</v>
      </c>
      <c r="N270" t="s">
        <v>2714</v>
      </c>
      <c r="O270" t="s">
        <v>10</v>
      </c>
    </row>
    <row r="271" spans="1:16" x14ac:dyDescent="0.2">
      <c r="A271" t="s">
        <v>2244</v>
      </c>
      <c r="B271">
        <v>448</v>
      </c>
      <c r="C271" t="s">
        <v>2059</v>
      </c>
      <c r="D271" t="s">
        <v>2066</v>
      </c>
      <c r="E271" t="s">
        <v>2091</v>
      </c>
      <c r="I271">
        <v>91.935483870967701</v>
      </c>
      <c r="J271" t="s">
        <v>2063</v>
      </c>
      <c r="K271">
        <v>1</v>
      </c>
      <c r="L271">
        <v>1</v>
      </c>
      <c r="M271" t="s">
        <v>2051</v>
      </c>
      <c r="N271" t="s">
        <v>2714</v>
      </c>
      <c r="O271" t="s">
        <v>10</v>
      </c>
    </row>
    <row r="272" spans="1:16" x14ac:dyDescent="0.2">
      <c r="A272" t="s">
        <v>2367</v>
      </c>
      <c r="B272">
        <v>913</v>
      </c>
      <c r="C272" t="s">
        <v>2059</v>
      </c>
      <c r="D272" t="s">
        <v>2066</v>
      </c>
      <c r="E272" t="s">
        <v>2091</v>
      </c>
      <c r="I272">
        <v>91.935483870967701</v>
      </c>
      <c r="J272" t="s">
        <v>2063</v>
      </c>
      <c r="K272">
        <v>1</v>
      </c>
      <c r="L272">
        <v>1</v>
      </c>
      <c r="M272" t="s">
        <v>2051</v>
      </c>
      <c r="N272" t="s">
        <v>2714</v>
      </c>
      <c r="O272" t="s">
        <v>10</v>
      </c>
    </row>
    <row r="273" spans="1:16" x14ac:dyDescent="0.2">
      <c r="A273" t="s">
        <v>2569</v>
      </c>
      <c r="B273">
        <v>1896</v>
      </c>
      <c r="C273" t="s">
        <v>2059</v>
      </c>
      <c r="D273" t="s">
        <v>2066</v>
      </c>
      <c r="E273" t="s">
        <v>2091</v>
      </c>
      <c r="I273">
        <v>91.935483870967701</v>
      </c>
      <c r="J273" t="s">
        <v>2063</v>
      </c>
      <c r="K273">
        <v>1</v>
      </c>
      <c r="L273">
        <v>1</v>
      </c>
      <c r="M273" t="s">
        <v>2051</v>
      </c>
      <c r="N273" t="s">
        <v>2714</v>
      </c>
      <c r="O273" t="s">
        <v>10</v>
      </c>
    </row>
    <row r="274" spans="1:16" x14ac:dyDescent="0.2">
      <c r="A274" t="s">
        <v>2473</v>
      </c>
      <c r="B274">
        <v>1407</v>
      </c>
      <c r="C274" t="s">
        <v>2059</v>
      </c>
      <c r="D274" t="s">
        <v>2066</v>
      </c>
      <c r="E274" t="s">
        <v>2067</v>
      </c>
      <c r="F274" t="s">
        <v>276</v>
      </c>
      <c r="I274">
        <v>92</v>
      </c>
      <c r="J274" t="s">
        <v>2063</v>
      </c>
      <c r="K274">
        <v>4</v>
      </c>
      <c r="L274">
        <v>1</v>
      </c>
      <c r="M274" t="s">
        <v>2052</v>
      </c>
      <c r="N274" t="s">
        <v>2714</v>
      </c>
      <c r="O274" t="s">
        <v>10</v>
      </c>
    </row>
    <row r="275" spans="1:16" x14ac:dyDescent="0.2">
      <c r="A275" t="s">
        <v>2545</v>
      </c>
      <c r="B275">
        <v>1794</v>
      </c>
      <c r="C275" t="s">
        <v>2059</v>
      </c>
      <c r="D275" t="s">
        <v>2069</v>
      </c>
      <c r="I275">
        <v>92.045454545454504</v>
      </c>
      <c r="J275" t="s">
        <v>2063</v>
      </c>
      <c r="K275">
        <v>1</v>
      </c>
      <c r="L275">
        <v>1</v>
      </c>
      <c r="M275" t="s">
        <v>2050</v>
      </c>
      <c r="N275" t="s">
        <v>2714</v>
      </c>
      <c r="O275" t="s">
        <v>10</v>
      </c>
    </row>
    <row r="276" spans="1:16" x14ac:dyDescent="0.2">
      <c r="A276" t="s">
        <v>208</v>
      </c>
      <c r="B276">
        <v>150</v>
      </c>
      <c r="C276" t="s">
        <v>2059</v>
      </c>
      <c r="D276" t="s">
        <v>2066</v>
      </c>
      <c r="E276" t="s">
        <v>2091</v>
      </c>
      <c r="F276" t="s">
        <v>209</v>
      </c>
      <c r="I276">
        <v>92.045454545454504</v>
      </c>
      <c r="J276" t="s">
        <v>2063</v>
      </c>
      <c r="K276">
        <v>40</v>
      </c>
      <c r="L276">
        <v>0.81632653061224503</v>
      </c>
      <c r="M276" t="s">
        <v>2052</v>
      </c>
      <c r="N276" t="s">
        <v>2714</v>
      </c>
      <c r="O276" t="s">
        <v>10</v>
      </c>
    </row>
    <row r="277" spans="1:16" x14ac:dyDescent="0.2">
      <c r="A277" t="s">
        <v>2543</v>
      </c>
      <c r="B277">
        <v>1776</v>
      </c>
      <c r="C277" t="s">
        <v>2059</v>
      </c>
      <c r="D277" t="s">
        <v>2066</v>
      </c>
      <c r="E277" t="s">
        <v>2067</v>
      </c>
      <c r="F277" t="s">
        <v>2145</v>
      </c>
      <c r="I277">
        <v>92.045454545454504</v>
      </c>
      <c r="J277" t="s">
        <v>2063</v>
      </c>
      <c r="K277">
        <v>7</v>
      </c>
      <c r="L277">
        <v>0.63636363636363602</v>
      </c>
      <c r="M277" t="s">
        <v>2052</v>
      </c>
      <c r="N277" t="s">
        <v>2714</v>
      </c>
      <c r="O277" t="s">
        <v>10</v>
      </c>
    </row>
    <row r="278" spans="1:16" x14ac:dyDescent="0.2">
      <c r="A278" t="s">
        <v>2478</v>
      </c>
      <c r="B278">
        <v>1455</v>
      </c>
      <c r="C278" t="s">
        <v>2059</v>
      </c>
      <c r="D278" t="s">
        <v>2066</v>
      </c>
      <c r="E278" t="s">
        <v>2067</v>
      </c>
      <c r="F278" t="s">
        <v>276</v>
      </c>
      <c r="I278">
        <v>92.045454545454504</v>
      </c>
      <c r="J278" t="s">
        <v>2063</v>
      </c>
      <c r="K278">
        <v>14</v>
      </c>
      <c r="L278">
        <v>1</v>
      </c>
      <c r="M278" t="s">
        <v>2052</v>
      </c>
      <c r="N278" t="s">
        <v>2714</v>
      </c>
      <c r="O278" t="s">
        <v>10</v>
      </c>
    </row>
    <row r="279" spans="1:16" x14ac:dyDescent="0.2">
      <c r="A279" t="s">
        <v>2259</v>
      </c>
      <c r="B279">
        <v>505</v>
      </c>
      <c r="C279" t="s">
        <v>2059</v>
      </c>
      <c r="D279" t="s">
        <v>2066</v>
      </c>
      <c r="E279" t="s">
        <v>2091</v>
      </c>
      <c r="I279">
        <v>92.090395480225993</v>
      </c>
      <c r="J279" t="s">
        <v>2063</v>
      </c>
      <c r="K279">
        <v>1</v>
      </c>
      <c r="L279">
        <v>1</v>
      </c>
      <c r="M279" t="s">
        <v>2051</v>
      </c>
      <c r="N279" t="s">
        <v>2714</v>
      </c>
      <c r="O279" t="s">
        <v>10</v>
      </c>
    </row>
    <row r="280" spans="1:16" x14ac:dyDescent="0.2">
      <c r="A280" t="s">
        <v>2243</v>
      </c>
      <c r="B280">
        <v>446</v>
      </c>
      <c r="C280" t="s">
        <v>2059</v>
      </c>
      <c r="D280" t="s">
        <v>2066</v>
      </c>
      <c r="E280" t="s">
        <v>2067</v>
      </c>
      <c r="F280" t="s">
        <v>276</v>
      </c>
      <c r="I280">
        <v>92.090395480225993</v>
      </c>
      <c r="J280" t="s">
        <v>2063</v>
      </c>
      <c r="K280">
        <v>50</v>
      </c>
      <c r="L280">
        <v>1</v>
      </c>
      <c r="M280" t="s">
        <v>2052</v>
      </c>
      <c r="N280" t="s">
        <v>2714</v>
      </c>
      <c r="O280" t="s">
        <v>10</v>
      </c>
    </row>
    <row r="281" spans="1:16" x14ac:dyDescent="0.2">
      <c r="A281" t="s">
        <v>2275</v>
      </c>
      <c r="B281">
        <v>545</v>
      </c>
      <c r="C281" t="s">
        <v>2059</v>
      </c>
      <c r="D281" t="s">
        <v>2066</v>
      </c>
      <c r="E281" t="s">
        <v>2067</v>
      </c>
      <c r="F281" t="s">
        <v>276</v>
      </c>
      <c r="I281">
        <v>92.090395480225993</v>
      </c>
      <c r="J281" t="s">
        <v>2063</v>
      </c>
      <c r="K281">
        <v>21</v>
      </c>
      <c r="L281">
        <v>1</v>
      </c>
      <c r="M281" t="s">
        <v>2052</v>
      </c>
      <c r="N281" t="s">
        <v>2714</v>
      </c>
      <c r="O281" t="s">
        <v>10</v>
      </c>
    </row>
    <row r="282" spans="1:16" x14ac:dyDescent="0.2">
      <c r="A282" t="s">
        <v>2432</v>
      </c>
      <c r="B282">
        <v>1225</v>
      </c>
      <c r="C282" t="s">
        <v>2059</v>
      </c>
      <c r="D282" t="s">
        <v>2066</v>
      </c>
      <c r="E282" t="s">
        <v>2080</v>
      </c>
      <c r="F282" t="s">
        <v>2081</v>
      </c>
      <c r="I282">
        <v>92.090395480225993</v>
      </c>
      <c r="J282" t="s">
        <v>2063</v>
      </c>
      <c r="K282">
        <v>50</v>
      </c>
      <c r="L282">
        <v>1</v>
      </c>
      <c r="M282" t="s">
        <v>2052</v>
      </c>
      <c r="N282" t="s">
        <v>2714</v>
      </c>
      <c r="O282" t="s">
        <v>2040</v>
      </c>
    </row>
    <row r="283" spans="1:16" x14ac:dyDescent="0.2">
      <c r="A283" t="s">
        <v>1000</v>
      </c>
      <c r="B283">
        <v>1150</v>
      </c>
      <c r="C283" t="s">
        <v>2059</v>
      </c>
      <c r="D283" t="s">
        <v>2066</v>
      </c>
      <c r="E283" t="s">
        <v>2086</v>
      </c>
      <c r="F283" t="s">
        <v>2100</v>
      </c>
      <c r="I283">
        <v>92.105263157894697</v>
      </c>
      <c r="J283" t="s">
        <v>2063</v>
      </c>
      <c r="K283">
        <v>3</v>
      </c>
      <c r="L283">
        <v>0.5</v>
      </c>
      <c r="M283" t="s">
        <v>2052</v>
      </c>
      <c r="N283" t="s">
        <v>2714</v>
      </c>
      <c r="O283" t="s">
        <v>10</v>
      </c>
    </row>
    <row r="284" spans="1:16" x14ac:dyDescent="0.2">
      <c r="A284" t="s">
        <v>1648</v>
      </c>
      <c r="B284">
        <v>2016</v>
      </c>
      <c r="C284" t="s">
        <v>2059</v>
      </c>
      <c r="D284" t="s">
        <v>2066</v>
      </c>
      <c r="E284" t="s">
        <v>2067</v>
      </c>
      <c r="F284" t="s">
        <v>276</v>
      </c>
      <c r="I284">
        <v>92.134831460674206</v>
      </c>
      <c r="J284" t="s">
        <v>2063</v>
      </c>
      <c r="K284">
        <v>50</v>
      </c>
      <c r="L284">
        <v>1</v>
      </c>
      <c r="M284" t="s">
        <v>2052</v>
      </c>
      <c r="N284" t="s">
        <v>2714</v>
      </c>
      <c r="O284" t="s">
        <v>10</v>
      </c>
    </row>
    <row r="285" spans="1:16" x14ac:dyDescent="0.2">
      <c r="A285" t="s">
        <v>2607</v>
      </c>
      <c r="B285">
        <v>2062</v>
      </c>
      <c r="C285" t="s">
        <v>2059</v>
      </c>
      <c r="D285" t="s">
        <v>2069</v>
      </c>
      <c r="I285">
        <v>92.1787709497207</v>
      </c>
      <c r="J285" t="s">
        <v>2063</v>
      </c>
      <c r="K285">
        <v>1</v>
      </c>
      <c r="L285">
        <v>1</v>
      </c>
      <c r="M285" t="s">
        <v>2050</v>
      </c>
      <c r="N285" t="s">
        <v>2714</v>
      </c>
      <c r="O285" t="s">
        <v>10</v>
      </c>
    </row>
    <row r="286" spans="1:16" x14ac:dyDescent="0.2">
      <c r="A286" t="s">
        <v>2283</v>
      </c>
      <c r="B286">
        <v>585</v>
      </c>
      <c r="C286" t="s">
        <v>2059</v>
      </c>
      <c r="D286" t="s">
        <v>2066</v>
      </c>
      <c r="E286" t="s">
        <v>2067</v>
      </c>
      <c r="F286" t="s">
        <v>2072</v>
      </c>
      <c r="I286">
        <v>92.1787709497207</v>
      </c>
      <c r="J286" t="s">
        <v>2063</v>
      </c>
      <c r="K286">
        <v>48</v>
      </c>
      <c r="L286">
        <v>1</v>
      </c>
      <c r="M286" t="s">
        <v>2052</v>
      </c>
      <c r="N286" t="s">
        <v>2714</v>
      </c>
      <c r="O286" t="s">
        <v>10</v>
      </c>
    </row>
    <row r="287" spans="1:16" hidden="1" x14ac:dyDescent="0.2">
      <c r="A287" t="s">
        <v>1785</v>
      </c>
      <c r="B287">
        <v>2202</v>
      </c>
      <c r="C287" t="s">
        <v>2059</v>
      </c>
      <c r="D287" t="s">
        <v>2066</v>
      </c>
      <c r="E287" t="s">
        <v>2079</v>
      </c>
      <c r="F287" t="s">
        <v>111</v>
      </c>
      <c r="G287" t="s">
        <v>1716</v>
      </c>
      <c r="H287" t="s">
        <v>1787</v>
      </c>
      <c r="I287">
        <v>100</v>
      </c>
      <c r="J287" t="s">
        <v>2063</v>
      </c>
      <c r="K287">
        <v>13</v>
      </c>
      <c r="L287">
        <v>0.92857142857142905</v>
      </c>
      <c r="M287" t="s">
        <v>8</v>
      </c>
      <c r="N287" t="s">
        <v>2038</v>
      </c>
      <c r="O287" t="s">
        <v>10</v>
      </c>
      <c r="P287" t="s">
        <v>2639</v>
      </c>
    </row>
    <row r="288" spans="1:16" x14ac:dyDescent="0.2">
      <c r="A288" t="s">
        <v>2469</v>
      </c>
      <c r="B288">
        <v>1390</v>
      </c>
      <c r="C288" t="s">
        <v>2059</v>
      </c>
      <c r="D288" t="s">
        <v>2066</v>
      </c>
      <c r="E288" t="s">
        <v>2080</v>
      </c>
      <c r="F288" t="s">
        <v>2081</v>
      </c>
      <c r="I288">
        <v>92.1787709497207</v>
      </c>
      <c r="J288" t="s">
        <v>2063</v>
      </c>
      <c r="K288">
        <v>48</v>
      </c>
      <c r="L288">
        <v>1</v>
      </c>
      <c r="M288" t="s">
        <v>2052</v>
      </c>
      <c r="N288" t="s">
        <v>2714</v>
      </c>
      <c r="O288" t="s">
        <v>2040</v>
      </c>
    </row>
    <row r="289" spans="1:16" x14ac:dyDescent="0.2">
      <c r="A289" t="s">
        <v>2247</v>
      </c>
      <c r="B289">
        <v>460</v>
      </c>
      <c r="C289" t="s">
        <v>2059</v>
      </c>
      <c r="D289" t="s">
        <v>2066</v>
      </c>
      <c r="E289" t="s">
        <v>2067</v>
      </c>
      <c r="F289" t="s">
        <v>276</v>
      </c>
      <c r="I289">
        <v>92.215568862275404</v>
      </c>
      <c r="J289" t="s">
        <v>2063</v>
      </c>
      <c r="K289">
        <v>50</v>
      </c>
      <c r="L289">
        <v>1</v>
      </c>
      <c r="M289" t="s">
        <v>2052</v>
      </c>
      <c r="N289" t="s">
        <v>2714</v>
      </c>
      <c r="O289" t="s">
        <v>10</v>
      </c>
    </row>
    <row r="290" spans="1:16" x14ac:dyDescent="0.2">
      <c r="A290" t="s">
        <v>970</v>
      </c>
      <c r="B290">
        <v>1089</v>
      </c>
      <c r="C290" t="s">
        <v>2059</v>
      </c>
      <c r="D290" t="s">
        <v>2066</v>
      </c>
      <c r="E290" t="s">
        <v>2067</v>
      </c>
      <c r="F290" t="s">
        <v>276</v>
      </c>
      <c r="I290">
        <v>92.2222222222222</v>
      </c>
      <c r="J290" t="s">
        <v>2063</v>
      </c>
      <c r="K290">
        <v>22</v>
      </c>
      <c r="L290">
        <v>1</v>
      </c>
      <c r="M290" t="s">
        <v>2052</v>
      </c>
      <c r="N290" t="s">
        <v>2714</v>
      </c>
      <c r="O290" t="s">
        <v>10</v>
      </c>
    </row>
    <row r="291" spans="1:16" x14ac:dyDescent="0.2">
      <c r="A291" t="s">
        <v>2381</v>
      </c>
      <c r="B291">
        <v>966</v>
      </c>
      <c r="C291" t="s">
        <v>2059</v>
      </c>
      <c r="D291" t="s">
        <v>2066</v>
      </c>
      <c r="E291" t="s">
        <v>2318</v>
      </c>
      <c r="F291" t="s">
        <v>2379</v>
      </c>
      <c r="I291">
        <v>92.253521126760603</v>
      </c>
      <c r="J291" t="s">
        <v>2063</v>
      </c>
      <c r="K291">
        <v>2</v>
      </c>
      <c r="L291">
        <v>1</v>
      </c>
      <c r="M291" t="s">
        <v>2052</v>
      </c>
      <c r="N291" t="s">
        <v>2714</v>
      </c>
      <c r="O291" t="s">
        <v>10</v>
      </c>
    </row>
    <row r="292" spans="1:16" x14ac:dyDescent="0.2">
      <c r="A292" t="s">
        <v>186</v>
      </c>
      <c r="B292">
        <v>129</v>
      </c>
      <c r="C292" t="s">
        <v>2059</v>
      </c>
      <c r="D292" t="s">
        <v>2069</v>
      </c>
      <c r="E292" t="s">
        <v>2070</v>
      </c>
      <c r="F292" t="s">
        <v>127</v>
      </c>
      <c r="I292">
        <v>92.265193370165704</v>
      </c>
      <c r="J292" t="s">
        <v>2063</v>
      </c>
      <c r="K292">
        <v>3</v>
      </c>
      <c r="L292">
        <v>1</v>
      </c>
      <c r="M292" t="s">
        <v>2052</v>
      </c>
      <c r="N292" t="s">
        <v>2714</v>
      </c>
      <c r="O292" t="s">
        <v>10</v>
      </c>
    </row>
    <row r="293" spans="1:16" x14ac:dyDescent="0.2">
      <c r="A293" t="s">
        <v>562</v>
      </c>
      <c r="B293">
        <v>564</v>
      </c>
      <c r="C293" t="s">
        <v>2059</v>
      </c>
      <c r="D293" t="s">
        <v>2069</v>
      </c>
      <c r="E293" t="s">
        <v>2070</v>
      </c>
      <c r="F293" t="s">
        <v>127</v>
      </c>
      <c r="I293">
        <v>92.265193370165704</v>
      </c>
      <c r="J293" t="s">
        <v>2063</v>
      </c>
      <c r="K293">
        <v>4</v>
      </c>
      <c r="L293">
        <v>1</v>
      </c>
      <c r="M293" t="s">
        <v>2052</v>
      </c>
      <c r="N293" t="s">
        <v>2714</v>
      </c>
      <c r="O293" t="s">
        <v>10</v>
      </c>
    </row>
    <row r="294" spans="1:16" hidden="1" x14ac:dyDescent="0.2">
      <c r="A294" t="s">
        <v>2181</v>
      </c>
      <c r="B294">
        <v>247</v>
      </c>
      <c r="C294" t="s">
        <v>2059</v>
      </c>
      <c r="D294" t="s">
        <v>2066</v>
      </c>
      <c r="E294" t="s">
        <v>2079</v>
      </c>
      <c r="F294" t="s">
        <v>2182</v>
      </c>
      <c r="G294" t="s">
        <v>2183</v>
      </c>
      <c r="H294" t="s">
        <v>2184</v>
      </c>
      <c r="I294">
        <v>99.447513812154696</v>
      </c>
      <c r="J294" t="s">
        <v>2063</v>
      </c>
      <c r="K294">
        <v>10</v>
      </c>
      <c r="L294">
        <v>1</v>
      </c>
      <c r="M294" t="s">
        <v>8</v>
      </c>
      <c r="N294" t="s">
        <v>2038</v>
      </c>
      <c r="O294" t="s">
        <v>10</v>
      </c>
      <c r="P294" t="s">
        <v>2185</v>
      </c>
    </row>
    <row r="295" spans="1:16" hidden="1" x14ac:dyDescent="0.2">
      <c r="A295" t="s">
        <v>1318</v>
      </c>
      <c r="B295">
        <v>1565</v>
      </c>
      <c r="C295" t="s">
        <v>2059</v>
      </c>
      <c r="D295" t="s">
        <v>2066</v>
      </c>
      <c r="E295" t="s">
        <v>2079</v>
      </c>
      <c r="F295" t="s">
        <v>476</v>
      </c>
      <c r="G295" t="s">
        <v>477</v>
      </c>
      <c r="H295" t="s">
        <v>1320</v>
      </c>
      <c r="I295">
        <v>100</v>
      </c>
      <c r="J295" t="s">
        <v>2113</v>
      </c>
      <c r="K295">
        <v>16</v>
      </c>
      <c r="L295">
        <v>0.5</v>
      </c>
      <c r="M295" t="s">
        <v>8</v>
      </c>
      <c r="N295" t="s">
        <v>2038</v>
      </c>
      <c r="O295" t="s">
        <v>10</v>
      </c>
      <c r="P295" t="s">
        <v>2512</v>
      </c>
    </row>
    <row r="296" spans="1:16" hidden="1" x14ac:dyDescent="0.2">
      <c r="A296" t="s">
        <v>474</v>
      </c>
      <c r="B296">
        <v>420</v>
      </c>
      <c r="C296" t="s">
        <v>2059</v>
      </c>
      <c r="D296" t="s">
        <v>2066</v>
      </c>
      <c r="E296" t="s">
        <v>2079</v>
      </c>
      <c r="F296" t="s">
        <v>476</v>
      </c>
      <c r="G296" t="s">
        <v>477</v>
      </c>
      <c r="H296" t="s">
        <v>475</v>
      </c>
      <c r="I296">
        <v>100</v>
      </c>
      <c r="J296" t="s">
        <v>2063</v>
      </c>
      <c r="K296">
        <v>34</v>
      </c>
      <c r="L296">
        <v>0.73913043478260898</v>
      </c>
      <c r="M296" t="s">
        <v>8</v>
      </c>
      <c r="N296" t="s">
        <v>2038</v>
      </c>
      <c r="O296" t="s">
        <v>10</v>
      </c>
      <c r="P296" t="s">
        <v>2240</v>
      </c>
    </row>
    <row r="297" spans="1:16" x14ac:dyDescent="0.2">
      <c r="A297" t="s">
        <v>395</v>
      </c>
      <c r="B297">
        <v>313</v>
      </c>
      <c r="C297" t="s">
        <v>2059</v>
      </c>
      <c r="D297" t="s">
        <v>2066</v>
      </c>
      <c r="E297" t="s">
        <v>2067</v>
      </c>
      <c r="F297" t="s">
        <v>276</v>
      </c>
      <c r="I297">
        <v>92.265193370165704</v>
      </c>
      <c r="J297" t="s">
        <v>2063</v>
      </c>
      <c r="K297">
        <v>24</v>
      </c>
      <c r="L297">
        <v>1</v>
      </c>
      <c r="M297" t="s">
        <v>2052</v>
      </c>
      <c r="N297" t="s">
        <v>2714</v>
      </c>
      <c r="O297" t="s">
        <v>10</v>
      </c>
    </row>
    <row r="298" spans="1:16" x14ac:dyDescent="0.2">
      <c r="A298" t="s">
        <v>1778</v>
      </c>
      <c r="B298">
        <v>2187</v>
      </c>
      <c r="C298" t="s">
        <v>2059</v>
      </c>
      <c r="D298" t="s">
        <v>2066</v>
      </c>
      <c r="E298" t="s">
        <v>2067</v>
      </c>
      <c r="F298" t="s">
        <v>2214</v>
      </c>
      <c r="I298">
        <v>92.265193370165704</v>
      </c>
      <c r="J298" t="s">
        <v>2063</v>
      </c>
      <c r="K298">
        <v>6</v>
      </c>
      <c r="L298">
        <v>1</v>
      </c>
      <c r="M298" t="s">
        <v>2052</v>
      </c>
      <c r="N298" t="s">
        <v>2714</v>
      </c>
      <c r="O298" t="s">
        <v>10</v>
      </c>
    </row>
    <row r="299" spans="1:16" x14ac:dyDescent="0.2">
      <c r="A299" t="s">
        <v>2680</v>
      </c>
      <c r="B299">
        <v>2364</v>
      </c>
      <c r="C299" t="s">
        <v>2059</v>
      </c>
      <c r="D299" t="s">
        <v>2066</v>
      </c>
      <c r="E299" t="s">
        <v>2091</v>
      </c>
      <c r="I299">
        <v>92.307692307692307</v>
      </c>
      <c r="J299" t="s">
        <v>2063</v>
      </c>
      <c r="K299">
        <v>1</v>
      </c>
      <c r="L299">
        <v>1</v>
      </c>
      <c r="M299" t="s">
        <v>2051</v>
      </c>
      <c r="N299" t="s">
        <v>2714</v>
      </c>
      <c r="O299" t="s">
        <v>10</v>
      </c>
    </row>
    <row r="300" spans="1:16" x14ac:dyDescent="0.2">
      <c r="A300" t="s">
        <v>2534</v>
      </c>
      <c r="B300">
        <v>1676</v>
      </c>
      <c r="C300" t="s">
        <v>2059</v>
      </c>
      <c r="D300" t="s">
        <v>2066</v>
      </c>
      <c r="E300" t="s">
        <v>2080</v>
      </c>
      <c r="I300">
        <v>92.307692307692307</v>
      </c>
      <c r="J300" t="s">
        <v>2063</v>
      </c>
      <c r="K300">
        <v>1</v>
      </c>
      <c r="L300">
        <v>1</v>
      </c>
      <c r="M300" t="s">
        <v>2051</v>
      </c>
      <c r="N300" t="s">
        <v>2714</v>
      </c>
      <c r="O300" t="s">
        <v>10</v>
      </c>
    </row>
    <row r="301" spans="1:16" x14ac:dyDescent="0.2">
      <c r="A301" t="s">
        <v>2160</v>
      </c>
      <c r="B301">
        <v>185</v>
      </c>
      <c r="C301" t="s">
        <v>2059</v>
      </c>
      <c r="I301">
        <v>92.307692307692307</v>
      </c>
      <c r="J301" t="s">
        <v>2063</v>
      </c>
      <c r="K301">
        <v>1</v>
      </c>
      <c r="L301">
        <v>1</v>
      </c>
      <c r="M301" t="s">
        <v>2049</v>
      </c>
      <c r="N301" t="s">
        <v>2714</v>
      </c>
      <c r="O301" t="s">
        <v>10</v>
      </c>
    </row>
    <row r="302" spans="1:16" x14ac:dyDescent="0.2">
      <c r="A302" t="s">
        <v>302</v>
      </c>
      <c r="B302">
        <v>215</v>
      </c>
      <c r="C302" t="s">
        <v>2059</v>
      </c>
      <c r="D302" t="s">
        <v>2066</v>
      </c>
      <c r="E302" t="s">
        <v>2067</v>
      </c>
      <c r="F302" t="s">
        <v>2116</v>
      </c>
      <c r="I302">
        <v>92.349726775956299</v>
      </c>
      <c r="J302" t="s">
        <v>2113</v>
      </c>
      <c r="K302">
        <v>1</v>
      </c>
      <c r="L302">
        <v>1</v>
      </c>
      <c r="M302" t="s">
        <v>2052</v>
      </c>
      <c r="N302" t="s">
        <v>2714</v>
      </c>
      <c r="O302" t="s">
        <v>10</v>
      </c>
    </row>
    <row r="303" spans="1:16" x14ac:dyDescent="0.2">
      <c r="A303" t="s">
        <v>845</v>
      </c>
      <c r="B303">
        <v>908</v>
      </c>
      <c r="C303" t="s">
        <v>2059</v>
      </c>
      <c r="D303" t="s">
        <v>2066</v>
      </c>
      <c r="E303" t="s">
        <v>2067</v>
      </c>
      <c r="F303" t="s">
        <v>2116</v>
      </c>
      <c r="I303">
        <v>92.349726775956299</v>
      </c>
      <c r="J303" t="s">
        <v>2113</v>
      </c>
      <c r="K303">
        <v>1</v>
      </c>
      <c r="L303">
        <v>1</v>
      </c>
      <c r="M303" t="s">
        <v>2052</v>
      </c>
      <c r="N303" t="s">
        <v>2714</v>
      </c>
      <c r="O303" t="s">
        <v>10</v>
      </c>
    </row>
    <row r="304" spans="1:16" x14ac:dyDescent="0.2">
      <c r="A304" t="s">
        <v>2450</v>
      </c>
      <c r="B304">
        <v>1287</v>
      </c>
      <c r="C304" t="s">
        <v>2059</v>
      </c>
      <c r="D304" t="s">
        <v>2066</v>
      </c>
      <c r="E304" t="s">
        <v>2079</v>
      </c>
      <c r="I304">
        <v>92.391304347826093</v>
      </c>
      <c r="J304" t="s">
        <v>2113</v>
      </c>
      <c r="K304">
        <v>1</v>
      </c>
      <c r="L304">
        <v>1</v>
      </c>
      <c r="M304" t="s">
        <v>2051</v>
      </c>
      <c r="N304" t="s">
        <v>2714</v>
      </c>
      <c r="O304" t="s">
        <v>10</v>
      </c>
    </row>
    <row r="305" spans="1:16" x14ac:dyDescent="0.2">
      <c r="A305" t="s">
        <v>2335</v>
      </c>
      <c r="B305">
        <v>764</v>
      </c>
      <c r="C305" t="s">
        <v>2059</v>
      </c>
      <c r="I305">
        <v>92.391304347826093</v>
      </c>
      <c r="J305" t="s">
        <v>2063</v>
      </c>
      <c r="K305">
        <v>1</v>
      </c>
      <c r="L305">
        <v>1</v>
      </c>
      <c r="M305" t="s">
        <v>2049</v>
      </c>
      <c r="N305" t="s">
        <v>2714</v>
      </c>
      <c r="O305" t="s">
        <v>10</v>
      </c>
    </row>
    <row r="306" spans="1:16" x14ac:dyDescent="0.2">
      <c r="A306" t="s">
        <v>2523</v>
      </c>
      <c r="B306">
        <v>1603</v>
      </c>
      <c r="C306" t="s">
        <v>2059</v>
      </c>
      <c r="D306" t="s">
        <v>2066</v>
      </c>
      <c r="E306" t="s">
        <v>2067</v>
      </c>
      <c r="F306" t="s">
        <v>276</v>
      </c>
      <c r="I306">
        <v>92.397660818713405</v>
      </c>
      <c r="J306" t="s">
        <v>2113</v>
      </c>
      <c r="K306">
        <v>19</v>
      </c>
      <c r="L306">
        <v>1</v>
      </c>
      <c r="M306" t="s">
        <v>2052</v>
      </c>
      <c r="N306" t="s">
        <v>2714</v>
      </c>
      <c r="O306" t="s">
        <v>10</v>
      </c>
    </row>
    <row r="307" spans="1:16" x14ac:dyDescent="0.2">
      <c r="A307" t="s">
        <v>2453</v>
      </c>
      <c r="B307">
        <v>1297</v>
      </c>
      <c r="C307" t="s">
        <v>2059</v>
      </c>
      <c r="D307" t="s">
        <v>2066</v>
      </c>
      <c r="E307" t="s">
        <v>2091</v>
      </c>
      <c r="I307">
        <v>92.473118279569903</v>
      </c>
      <c r="J307" t="s">
        <v>2063</v>
      </c>
      <c r="K307">
        <v>1</v>
      </c>
      <c r="L307">
        <v>1</v>
      </c>
      <c r="M307" t="s">
        <v>2051</v>
      </c>
      <c r="N307" t="s">
        <v>2714</v>
      </c>
      <c r="O307" t="s">
        <v>10</v>
      </c>
    </row>
    <row r="308" spans="1:16" x14ac:dyDescent="0.2">
      <c r="A308" t="s">
        <v>2452</v>
      </c>
      <c r="B308">
        <v>1292</v>
      </c>
      <c r="C308" t="s">
        <v>2059</v>
      </c>
      <c r="D308" t="s">
        <v>2069</v>
      </c>
      <c r="E308" t="s">
        <v>2127</v>
      </c>
      <c r="F308" t="s">
        <v>2150</v>
      </c>
      <c r="I308">
        <v>92.523364485981304</v>
      </c>
      <c r="J308" t="s">
        <v>2113</v>
      </c>
      <c r="K308">
        <v>1</v>
      </c>
      <c r="L308">
        <v>0.5</v>
      </c>
      <c r="M308" t="s">
        <v>2052</v>
      </c>
      <c r="N308" t="s">
        <v>2714</v>
      </c>
      <c r="O308" t="s">
        <v>10</v>
      </c>
    </row>
    <row r="309" spans="1:16" x14ac:dyDescent="0.2">
      <c r="A309" t="s">
        <v>1220</v>
      </c>
      <c r="B309">
        <v>1468</v>
      </c>
      <c r="C309" t="s">
        <v>2059</v>
      </c>
      <c r="D309" t="s">
        <v>2066</v>
      </c>
      <c r="E309" t="s">
        <v>2067</v>
      </c>
      <c r="F309" t="s">
        <v>276</v>
      </c>
      <c r="I309">
        <v>92.528735632183896</v>
      </c>
      <c r="J309" t="s">
        <v>2063</v>
      </c>
      <c r="K309">
        <v>50</v>
      </c>
      <c r="L309">
        <v>1</v>
      </c>
      <c r="M309" t="s">
        <v>2052</v>
      </c>
      <c r="N309" t="s">
        <v>2714</v>
      </c>
      <c r="O309" t="s">
        <v>10</v>
      </c>
    </row>
    <row r="310" spans="1:16" hidden="1" x14ac:dyDescent="0.2">
      <c r="A310" t="s">
        <v>175</v>
      </c>
      <c r="B310">
        <v>123</v>
      </c>
      <c r="C310" t="s">
        <v>2059</v>
      </c>
      <c r="D310" t="s">
        <v>2066</v>
      </c>
      <c r="E310" t="s">
        <v>2079</v>
      </c>
      <c r="F310" t="s">
        <v>177</v>
      </c>
      <c r="G310" t="s">
        <v>176</v>
      </c>
      <c r="H310" t="s">
        <v>762</v>
      </c>
      <c r="I310">
        <v>99.447513812154696</v>
      </c>
      <c r="J310" t="s">
        <v>2063</v>
      </c>
      <c r="K310">
        <v>9</v>
      </c>
      <c r="L310">
        <v>0.40909090909090901</v>
      </c>
      <c r="M310" t="s">
        <v>8</v>
      </c>
      <c r="N310" t="s">
        <v>2038</v>
      </c>
      <c r="O310" t="s">
        <v>10</v>
      </c>
      <c r="P310" t="s">
        <v>2141</v>
      </c>
    </row>
    <row r="311" spans="1:16" hidden="1" x14ac:dyDescent="0.2">
      <c r="A311" t="s">
        <v>760</v>
      </c>
      <c r="B311">
        <v>795</v>
      </c>
      <c r="C311" t="s">
        <v>2059</v>
      </c>
      <c r="D311" t="s">
        <v>2066</v>
      </c>
      <c r="E311" t="s">
        <v>2079</v>
      </c>
      <c r="F311" t="s">
        <v>177</v>
      </c>
      <c r="G311" t="s">
        <v>176</v>
      </c>
      <c r="H311" t="s">
        <v>762</v>
      </c>
      <c r="I311">
        <v>97.7777777777778</v>
      </c>
      <c r="J311" t="s">
        <v>2063</v>
      </c>
      <c r="K311">
        <v>9</v>
      </c>
      <c r="L311">
        <v>0.42857142857142799</v>
      </c>
      <c r="M311" t="s">
        <v>8</v>
      </c>
      <c r="N311" t="s">
        <v>2038</v>
      </c>
      <c r="O311" t="s">
        <v>10</v>
      </c>
      <c r="P311" t="s">
        <v>2141</v>
      </c>
    </row>
    <row r="312" spans="1:16" hidden="1" x14ac:dyDescent="0.2">
      <c r="A312" t="s">
        <v>770</v>
      </c>
      <c r="B312">
        <v>809</v>
      </c>
      <c r="C312" t="s">
        <v>2059</v>
      </c>
      <c r="D312" t="s">
        <v>2066</v>
      </c>
      <c r="E312" t="s">
        <v>2079</v>
      </c>
      <c r="F312" t="s">
        <v>177</v>
      </c>
      <c r="G312" t="s">
        <v>176</v>
      </c>
      <c r="H312" t="s">
        <v>762</v>
      </c>
      <c r="I312">
        <v>97.7777777777778</v>
      </c>
      <c r="J312" t="s">
        <v>2063</v>
      </c>
      <c r="K312">
        <v>9</v>
      </c>
      <c r="L312">
        <v>0.42857142857142799</v>
      </c>
      <c r="M312" t="s">
        <v>8</v>
      </c>
      <c r="N312" t="s">
        <v>2038</v>
      </c>
      <c r="O312" t="s">
        <v>10</v>
      </c>
      <c r="P312" t="s">
        <v>2141</v>
      </c>
    </row>
    <row r="313" spans="1:16" hidden="1" x14ac:dyDescent="0.2">
      <c r="A313" t="s">
        <v>1404</v>
      </c>
      <c r="B313">
        <v>1677</v>
      </c>
      <c r="C313" t="s">
        <v>2059</v>
      </c>
      <c r="D313" t="s">
        <v>2066</v>
      </c>
      <c r="E313" t="s">
        <v>2079</v>
      </c>
      <c r="F313" t="s">
        <v>177</v>
      </c>
      <c r="G313" t="s">
        <v>176</v>
      </c>
      <c r="H313" t="s">
        <v>762</v>
      </c>
      <c r="I313">
        <v>98.8888888888889</v>
      </c>
      <c r="J313" t="s">
        <v>2063</v>
      </c>
      <c r="K313">
        <v>9</v>
      </c>
      <c r="L313">
        <v>0.40909090909090901</v>
      </c>
      <c r="M313" t="s">
        <v>8</v>
      </c>
      <c r="N313" t="s">
        <v>2038</v>
      </c>
      <c r="O313" t="s">
        <v>10</v>
      </c>
      <c r="P313" t="s">
        <v>2141</v>
      </c>
    </row>
    <row r="314" spans="1:16" hidden="1" x14ac:dyDescent="0.2">
      <c r="A314" t="s">
        <v>1242</v>
      </c>
      <c r="B314">
        <v>1494</v>
      </c>
      <c r="C314" t="s">
        <v>2059</v>
      </c>
      <c r="D314" t="s">
        <v>2066</v>
      </c>
      <c r="E314" t="s">
        <v>2079</v>
      </c>
      <c r="F314" t="s">
        <v>177</v>
      </c>
      <c r="G314" t="s">
        <v>176</v>
      </c>
      <c r="H314" t="s">
        <v>1244</v>
      </c>
      <c r="I314">
        <v>100</v>
      </c>
      <c r="J314" t="s">
        <v>2063</v>
      </c>
      <c r="K314">
        <v>2</v>
      </c>
      <c r="L314">
        <v>0.66666666666666696</v>
      </c>
      <c r="M314" t="s">
        <v>8</v>
      </c>
      <c r="N314" t="s">
        <v>2038</v>
      </c>
      <c r="O314" t="s">
        <v>10</v>
      </c>
      <c r="P314" t="s">
        <v>2487</v>
      </c>
    </row>
    <row r="315" spans="1:16" hidden="1" x14ac:dyDescent="0.2">
      <c r="A315" t="s">
        <v>1486</v>
      </c>
      <c r="B315">
        <v>1826</v>
      </c>
      <c r="C315" t="s">
        <v>2059</v>
      </c>
      <c r="D315" t="s">
        <v>2066</v>
      </c>
      <c r="E315" t="s">
        <v>2079</v>
      </c>
      <c r="F315" t="s">
        <v>177</v>
      </c>
      <c r="G315" t="s">
        <v>176</v>
      </c>
      <c r="H315" t="s">
        <v>1244</v>
      </c>
      <c r="I315">
        <v>98.895027624309407</v>
      </c>
      <c r="J315" t="s">
        <v>2063</v>
      </c>
      <c r="K315">
        <v>2</v>
      </c>
      <c r="L315">
        <v>1</v>
      </c>
      <c r="M315" t="s">
        <v>8</v>
      </c>
      <c r="N315" t="s">
        <v>2038</v>
      </c>
      <c r="O315" t="s">
        <v>10</v>
      </c>
      <c r="P315" t="s">
        <v>2487</v>
      </c>
    </row>
    <row r="316" spans="1:16" hidden="1" x14ac:dyDescent="0.2">
      <c r="A316" t="s">
        <v>1734</v>
      </c>
      <c r="B316">
        <v>2156</v>
      </c>
      <c r="C316" t="s">
        <v>2059</v>
      </c>
      <c r="D316" t="s">
        <v>2066</v>
      </c>
      <c r="E316" t="s">
        <v>2079</v>
      </c>
      <c r="F316" t="s">
        <v>177</v>
      </c>
      <c r="G316" t="s">
        <v>176</v>
      </c>
      <c r="H316" t="s">
        <v>1244</v>
      </c>
      <c r="I316">
        <v>98.895027624309407</v>
      </c>
      <c r="J316" t="s">
        <v>2063</v>
      </c>
      <c r="K316">
        <v>2</v>
      </c>
      <c r="L316">
        <v>1</v>
      </c>
      <c r="M316" t="s">
        <v>8</v>
      </c>
      <c r="N316" t="s">
        <v>2038</v>
      </c>
      <c r="O316" t="s">
        <v>10</v>
      </c>
      <c r="P316" t="s">
        <v>2487</v>
      </c>
    </row>
    <row r="317" spans="1:16" hidden="1" x14ac:dyDescent="0.2">
      <c r="A317" t="s">
        <v>1854</v>
      </c>
      <c r="B317">
        <v>2275</v>
      </c>
      <c r="C317" t="s">
        <v>2059</v>
      </c>
      <c r="D317" t="s">
        <v>2066</v>
      </c>
      <c r="E317" t="s">
        <v>2079</v>
      </c>
      <c r="F317" t="s">
        <v>177</v>
      </c>
      <c r="G317" t="s">
        <v>176</v>
      </c>
      <c r="H317" t="s">
        <v>1244</v>
      </c>
      <c r="I317">
        <v>98.895027624309407</v>
      </c>
      <c r="J317" t="s">
        <v>2063</v>
      </c>
      <c r="K317">
        <v>2</v>
      </c>
      <c r="L317">
        <v>1</v>
      </c>
      <c r="M317" t="s">
        <v>8</v>
      </c>
      <c r="N317" t="s">
        <v>2038</v>
      </c>
      <c r="O317" t="s">
        <v>10</v>
      </c>
      <c r="P317" t="s">
        <v>2487</v>
      </c>
    </row>
    <row r="318" spans="1:16" hidden="1" x14ac:dyDescent="0.2">
      <c r="A318" t="s">
        <v>950</v>
      </c>
      <c r="B318">
        <v>1066</v>
      </c>
      <c r="C318" t="s">
        <v>2059</v>
      </c>
      <c r="D318" t="s">
        <v>2066</v>
      </c>
      <c r="E318" t="s">
        <v>2079</v>
      </c>
      <c r="F318" t="s">
        <v>177</v>
      </c>
      <c r="G318" t="s">
        <v>176</v>
      </c>
      <c r="H318" t="s">
        <v>952</v>
      </c>
      <c r="I318">
        <v>100</v>
      </c>
      <c r="J318" t="s">
        <v>2063</v>
      </c>
      <c r="K318">
        <v>5</v>
      </c>
      <c r="L318">
        <v>0.83333333333333304</v>
      </c>
      <c r="M318" t="s">
        <v>8</v>
      </c>
      <c r="N318" t="s">
        <v>2038</v>
      </c>
      <c r="O318" t="s">
        <v>10</v>
      </c>
      <c r="P318" t="s">
        <v>2408</v>
      </c>
    </row>
    <row r="319" spans="1:16" hidden="1" x14ac:dyDescent="0.2">
      <c r="A319" t="s">
        <v>958</v>
      </c>
      <c r="B319">
        <v>1072</v>
      </c>
      <c r="C319" t="s">
        <v>2059</v>
      </c>
      <c r="D319" t="s">
        <v>2066</v>
      </c>
      <c r="E319" t="s">
        <v>2079</v>
      </c>
      <c r="F319" t="s">
        <v>177</v>
      </c>
      <c r="G319" t="s">
        <v>176</v>
      </c>
      <c r="H319" t="s">
        <v>952</v>
      </c>
      <c r="I319">
        <v>100</v>
      </c>
      <c r="J319" t="s">
        <v>2063</v>
      </c>
      <c r="K319">
        <v>5</v>
      </c>
      <c r="L319">
        <v>0.83333333333333304</v>
      </c>
      <c r="M319" t="s">
        <v>8</v>
      </c>
      <c r="N319" t="s">
        <v>2038</v>
      </c>
      <c r="O319" t="s">
        <v>10</v>
      </c>
      <c r="P319" t="s">
        <v>2408</v>
      </c>
    </row>
    <row r="320" spans="1:16" hidden="1" x14ac:dyDescent="0.2">
      <c r="A320" t="s">
        <v>1399</v>
      </c>
      <c r="B320">
        <v>1670</v>
      </c>
      <c r="C320" t="s">
        <v>2059</v>
      </c>
      <c r="D320" t="s">
        <v>2066</v>
      </c>
      <c r="E320" t="s">
        <v>2079</v>
      </c>
      <c r="F320" t="s">
        <v>177</v>
      </c>
      <c r="G320" t="s">
        <v>176</v>
      </c>
      <c r="H320" t="s">
        <v>952</v>
      </c>
      <c r="I320">
        <v>97.237569060773495</v>
      </c>
      <c r="J320" t="s">
        <v>2063</v>
      </c>
      <c r="K320">
        <v>3</v>
      </c>
      <c r="L320">
        <v>0.5</v>
      </c>
      <c r="M320" t="s">
        <v>8</v>
      </c>
      <c r="N320" t="s">
        <v>2038</v>
      </c>
      <c r="O320" t="s">
        <v>10</v>
      </c>
      <c r="P320" t="s">
        <v>2533</v>
      </c>
    </row>
    <row r="321" spans="1:16" hidden="1" x14ac:dyDescent="0.2">
      <c r="A321" t="s">
        <v>1461</v>
      </c>
      <c r="B321">
        <v>1799</v>
      </c>
      <c r="C321" t="s">
        <v>2059</v>
      </c>
      <c r="D321" t="s">
        <v>2066</v>
      </c>
      <c r="E321" t="s">
        <v>2079</v>
      </c>
      <c r="F321" t="s">
        <v>177</v>
      </c>
      <c r="G321" t="s">
        <v>176</v>
      </c>
      <c r="H321" t="s">
        <v>761</v>
      </c>
      <c r="I321">
        <v>97.2222222222222</v>
      </c>
      <c r="J321" t="s">
        <v>2063</v>
      </c>
      <c r="K321">
        <v>4</v>
      </c>
      <c r="L321">
        <v>0.44444444444444398</v>
      </c>
      <c r="M321" t="s">
        <v>8</v>
      </c>
      <c r="N321" t="s">
        <v>2037</v>
      </c>
      <c r="O321" t="s">
        <v>10</v>
      </c>
      <c r="P321" t="s">
        <v>2533</v>
      </c>
    </row>
    <row r="322" spans="1:16" hidden="1" x14ac:dyDescent="0.2">
      <c r="A322" t="s">
        <v>631</v>
      </c>
      <c r="B322">
        <v>635</v>
      </c>
      <c r="C322" t="s">
        <v>2059</v>
      </c>
      <c r="D322" t="s">
        <v>2066</v>
      </c>
      <c r="E322" t="s">
        <v>2079</v>
      </c>
      <c r="F322" t="s">
        <v>177</v>
      </c>
      <c r="G322" t="s">
        <v>176</v>
      </c>
      <c r="H322" t="s">
        <v>2299</v>
      </c>
      <c r="I322">
        <v>97.790055248618799</v>
      </c>
      <c r="J322" t="s">
        <v>2063</v>
      </c>
      <c r="K322">
        <v>35</v>
      </c>
      <c r="L322">
        <v>0.5</v>
      </c>
      <c r="M322" t="s">
        <v>8</v>
      </c>
      <c r="N322" t="s">
        <v>2038</v>
      </c>
      <c r="O322" t="s">
        <v>10</v>
      </c>
      <c r="P322" t="s">
        <v>2300</v>
      </c>
    </row>
    <row r="323" spans="1:16" hidden="1" x14ac:dyDescent="0.2">
      <c r="A323" t="s">
        <v>1023</v>
      </c>
      <c r="B323">
        <v>1208</v>
      </c>
      <c r="C323" t="s">
        <v>2059</v>
      </c>
      <c r="D323" t="s">
        <v>2066</v>
      </c>
      <c r="E323" t="s">
        <v>2079</v>
      </c>
      <c r="F323" t="s">
        <v>177</v>
      </c>
      <c r="G323" t="s">
        <v>176</v>
      </c>
      <c r="H323" t="s">
        <v>2299</v>
      </c>
      <c r="I323">
        <v>97.452229299362997</v>
      </c>
      <c r="J323" t="s">
        <v>2063</v>
      </c>
      <c r="K323">
        <v>24</v>
      </c>
      <c r="L323">
        <v>0.40677966101694901</v>
      </c>
      <c r="M323" t="s">
        <v>8</v>
      </c>
      <c r="N323" t="s">
        <v>2038</v>
      </c>
      <c r="O323" t="s">
        <v>10</v>
      </c>
      <c r="P323" t="s">
        <v>2300</v>
      </c>
    </row>
    <row r="324" spans="1:16" hidden="1" x14ac:dyDescent="0.2">
      <c r="A324" t="s">
        <v>1342</v>
      </c>
      <c r="B324">
        <v>1588</v>
      </c>
      <c r="C324" t="s">
        <v>2059</v>
      </c>
      <c r="D324" t="s">
        <v>2066</v>
      </c>
      <c r="E324" t="s">
        <v>2079</v>
      </c>
      <c r="F324" t="s">
        <v>177</v>
      </c>
      <c r="G324" t="s">
        <v>176</v>
      </c>
      <c r="H324" t="s">
        <v>632</v>
      </c>
      <c r="I324">
        <v>97.237569060773495</v>
      </c>
      <c r="J324" t="s">
        <v>2063</v>
      </c>
      <c r="K324">
        <v>19</v>
      </c>
      <c r="L324">
        <v>0.57575757575757602</v>
      </c>
      <c r="M324" t="s">
        <v>8</v>
      </c>
      <c r="N324" t="s">
        <v>2038</v>
      </c>
      <c r="O324" t="s">
        <v>10</v>
      </c>
      <c r="P324" t="s">
        <v>2520</v>
      </c>
    </row>
    <row r="325" spans="1:16" hidden="1" x14ac:dyDescent="0.2">
      <c r="A325" t="s">
        <v>263</v>
      </c>
      <c r="B325">
        <v>184</v>
      </c>
      <c r="C325" t="s">
        <v>2059</v>
      </c>
      <c r="D325" t="s">
        <v>2066</v>
      </c>
      <c r="E325" t="s">
        <v>2079</v>
      </c>
      <c r="F325" t="s">
        <v>177</v>
      </c>
      <c r="G325" t="s">
        <v>176</v>
      </c>
      <c r="H325" t="s">
        <v>264</v>
      </c>
      <c r="I325">
        <v>100</v>
      </c>
      <c r="J325" t="s">
        <v>2063</v>
      </c>
      <c r="K325">
        <v>37</v>
      </c>
      <c r="L325">
        <v>0.97368421052631604</v>
      </c>
      <c r="M325" t="s">
        <v>8</v>
      </c>
      <c r="N325" t="s">
        <v>2038</v>
      </c>
      <c r="O325" t="s">
        <v>10</v>
      </c>
      <c r="P325" t="s">
        <v>2159</v>
      </c>
    </row>
    <row r="326" spans="1:16" hidden="1" x14ac:dyDescent="0.2">
      <c r="A326" t="s">
        <v>1068</v>
      </c>
      <c r="B326">
        <v>1271</v>
      </c>
      <c r="C326" t="s">
        <v>2059</v>
      </c>
      <c r="D326" t="s">
        <v>2066</v>
      </c>
      <c r="E326" t="s">
        <v>2079</v>
      </c>
      <c r="F326" t="s">
        <v>177</v>
      </c>
      <c r="G326" t="s">
        <v>176</v>
      </c>
      <c r="H326" t="s">
        <v>264</v>
      </c>
      <c r="I326">
        <v>100</v>
      </c>
      <c r="J326" t="s">
        <v>2063</v>
      </c>
      <c r="K326">
        <v>42</v>
      </c>
      <c r="L326">
        <v>0.97674418604651203</v>
      </c>
      <c r="M326" t="s">
        <v>8</v>
      </c>
      <c r="N326" t="s">
        <v>2038</v>
      </c>
      <c r="O326" t="s">
        <v>10</v>
      </c>
      <c r="P326" t="s">
        <v>2159</v>
      </c>
    </row>
    <row r="327" spans="1:16" hidden="1" x14ac:dyDescent="0.2">
      <c r="A327" t="s">
        <v>1946</v>
      </c>
      <c r="B327">
        <v>2411</v>
      </c>
      <c r="C327" t="s">
        <v>2059</v>
      </c>
      <c r="D327" t="s">
        <v>2066</v>
      </c>
      <c r="E327" t="s">
        <v>2079</v>
      </c>
      <c r="F327" t="s">
        <v>177</v>
      </c>
      <c r="G327" t="s">
        <v>176</v>
      </c>
      <c r="H327" t="s">
        <v>264</v>
      </c>
      <c r="I327">
        <v>97.159090909090907</v>
      </c>
      <c r="J327" t="s">
        <v>2063</v>
      </c>
      <c r="K327">
        <v>19</v>
      </c>
      <c r="L327">
        <v>1</v>
      </c>
      <c r="M327" t="s">
        <v>8</v>
      </c>
      <c r="N327" t="s">
        <v>2038</v>
      </c>
      <c r="O327" t="s">
        <v>10</v>
      </c>
      <c r="P327" t="s">
        <v>2159</v>
      </c>
    </row>
    <row r="328" spans="1:16" hidden="1" x14ac:dyDescent="0.2">
      <c r="A328" t="s">
        <v>1534</v>
      </c>
      <c r="B328">
        <v>1886</v>
      </c>
      <c r="C328" t="s">
        <v>2059</v>
      </c>
      <c r="D328" t="s">
        <v>2066</v>
      </c>
      <c r="E328" t="s">
        <v>2079</v>
      </c>
      <c r="F328" t="s">
        <v>177</v>
      </c>
      <c r="G328" t="s">
        <v>176</v>
      </c>
      <c r="H328" t="s">
        <v>1536</v>
      </c>
      <c r="I328">
        <v>98.8888888888889</v>
      </c>
      <c r="J328" t="s">
        <v>2063</v>
      </c>
      <c r="K328">
        <v>6</v>
      </c>
      <c r="L328">
        <v>0.162162162162162</v>
      </c>
      <c r="M328" t="s">
        <v>8</v>
      </c>
      <c r="N328" t="s">
        <v>2038</v>
      </c>
      <c r="O328" t="s">
        <v>10</v>
      </c>
      <c r="P328" t="s">
        <v>2565</v>
      </c>
    </row>
    <row r="329" spans="1:16" hidden="1" x14ac:dyDescent="0.2">
      <c r="A329" t="s">
        <v>1718</v>
      </c>
      <c r="B329">
        <v>2123</v>
      </c>
      <c r="C329" t="s">
        <v>2059</v>
      </c>
      <c r="D329" t="s">
        <v>2066</v>
      </c>
      <c r="E329" t="s">
        <v>2079</v>
      </c>
      <c r="F329" t="s">
        <v>177</v>
      </c>
      <c r="G329" t="s">
        <v>176</v>
      </c>
      <c r="H329" t="s">
        <v>1536</v>
      </c>
      <c r="I329">
        <v>100</v>
      </c>
      <c r="J329" t="s">
        <v>2063</v>
      </c>
      <c r="K329">
        <v>6</v>
      </c>
      <c r="L329">
        <v>0.15</v>
      </c>
      <c r="M329" t="s">
        <v>8</v>
      </c>
      <c r="N329" t="s">
        <v>2038</v>
      </c>
      <c r="O329" t="s">
        <v>10</v>
      </c>
      <c r="P329" t="s">
        <v>2565</v>
      </c>
    </row>
    <row r="330" spans="1:16" x14ac:dyDescent="0.2">
      <c r="A330" t="s">
        <v>2200</v>
      </c>
      <c r="B330">
        <v>293</v>
      </c>
      <c r="C330" t="s">
        <v>2059</v>
      </c>
      <c r="D330" t="s">
        <v>2066</v>
      </c>
      <c r="E330" t="s">
        <v>2080</v>
      </c>
      <c r="F330" t="s">
        <v>2081</v>
      </c>
      <c r="I330">
        <v>92.537313432835802</v>
      </c>
      <c r="J330" t="s">
        <v>2063</v>
      </c>
      <c r="K330">
        <v>4</v>
      </c>
      <c r="L330">
        <v>1</v>
      </c>
      <c r="M330" t="s">
        <v>2052</v>
      </c>
      <c r="N330" t="s">
        <v>2714</v>
      </c>
      <c r="O330" t="s">
        <v>2040</v>
      </c>
    </row>
    <row r="331" spans="1:16" x14ac:dyDescent="0.2">
      <c r="A331" t="s">
        <v>647</v>
      </c>
      <c r="B331">
        <v>648</v>
      </c>
      <c r="C331" t="s">
        <v>2059</v>
      </c>
      <c r="D331" t="s">
        <v>2066</v>
      </c>
      <c r="E331" t="s">
        <v>2080</v>
      </c>
      <c r="F331" t="s">
        <v>2081</v>
      </c>
      <c r="I331">
        <v>92.537313432835802</v>
      </c>
      <c r="J331" t="s">
        <v>2063</v>
      </c>
      <c r="K331">
        <v>22</v>
      </c>
      <c r="L331">
        <v>1</v>
      </c>
      <c r="M331" t="s">
        <v>2052</v>
      </c>
      <c r="N331" t="s">
        <v>2714</v>
      </c>
      <c r="O331" t="s">
        <v>2040</v>
      </c>
    </row>
    <row r="332" spans="1:16" x14ac:dyDescent="0.2">
      <c r="A332" t="s">
        <v>2596</v>
      </c>
      <c r="B332">
        <v>2009</v>
      </c>
      <c r="C332" t="s">
        <v>2059</v>
      </c>
      <c r="D332" t="s">
        <v>2066</v>
      </c>
      <c r="E332" t="s">
        <v>2080</v>
      </c>
      <c r="F332" t="s">
        <v>2081</v>
      </c>
      <c r="I332">
        <v>92.537313432835802</v>
      </c>
      <c r="J332" t="s">
        <v>2063</v>
      </c>
      <c r="K332">
        <v>35</v>
      </c>
      <c r="L332">
        <v>1</v>
      </c>
      <c r="M332" t="s">
        <v>2052</v>
      </c>
      <c r="N332" t="s">
        <v>2714</v>
      </c>
      <c r="O332" t="s">
        <v>2040</v>
      </c>
    </row>
    <row r="333" spans="1:16" x14ac:dyDescent="0.2">
      <c r="A333" t="s">
        <v>2537</v>
      </c>
      <c r="B333">
        <v>1691</v>
      </c>
      <c r="C333" t="s">
        <v>2059</v>
      </c>
      <c r="D333" t="s">
        <v>2066</v>
      </c>
      <c r="E333" t="s">
        <v>2067</v>
      </c>
      <c r="F333" t="s">
        <v>276</v>
      </c>
      <c r="I333">
        <v>92.546583850931697</v>
      </c>
      <c r="J333" t="s">
        <v>2063</v>
      </c>
      <c r="K333">
        <v>41</v>
      </c>
      <c r="L333">
        <v>1</v>
      </c>
      <c r="M333" t="s">
        <v>2052</v>
      </c>
      <c r="N333" t="s">
        <v>2714</v>
      </c>
      <c r="O333" t="s">
        <v>10</v>
      </c>
    </row>
    <row r="334" spans="1:16" x14ac:dyDescent="0.2">
      <c r="A334" t="s">
        <v>2309</v>
      </c>
      <c r="B334">
        <v>669</v>
      </c>
      <c r="C334" t="s">
        <v>2059</v>
      </c>
      <c r="D334" t="s">
        <v>2066</v>
      </c>
      <c r="E334" t="s">
        <v>2079</v>
      </c>
      <c r="F334" t="s">
        <v>720</v>
      </c>
      <c r="I334">
        <v>92.592592592592595</v>
      </c>
      <c r="J334" t="s">
        <v>2063</v>
      </c>
      <c r="K334">
        <v>9</v>
      </c>
      <c r="L334">
        <v>0.31034482758620702</v>
      </c>
      <c r="M334" t="s">
        <v>2052</v>
      </c>
      <c r="N334" t="s">
        <v>2714</v>
      </c>
      <c r="O334" t="s">
        <v>10</v>
      </c>
    </row>
    <row r="335" spans="1:16" x14ac:dyDescent="0.2">
      <c r="A335" t="s">
        <v>2073</v>
      </c>
      <c r="B335">
        <v>11</v>
      </c>
      <c r="C335" t="s">
        <v>2059</v>
      </c>
      <c r="D335" t="s">
        <v>2066</v>
      </c>
      <c r="E335" t="s">
        <v>2067</v>
      </c>
      <c r="F335" t="s">
        <v>276</v>
      </c>
      <c r="I335">
        <v>92.613636363636402</v>
      </c>
      <c r="J335" t="s">
        <v>2063</v>
      </c>
      <c r="K335">
        <v>50</v>
      </c>
      <c r="L335">
        <v>1</v>
      </c>
      <c r="M335" t="s">
        <v>2052</v>
      </c>
      <c r="N335" t="s">
        <v>2714</v>
      </c>
      <c r="O335" t="s">
        <v>10</v>
      </c>
    </row>
    <row r="336" spans="1:16" hidden="1" x14ac:dyDescent="0.2">
      <c r="A336" t="s">
        <v>1512</v>
      </c>
      <c r="B336">
        <v>1855</v>
      </c>
      <c r="C336" t="s">
        <v>2059</v>
      </c>
      <c r="D336" t="s">
        <v>2066</v>
      </c>
      <c r="E336" t="s">
        <v>2079</v>
      </c>
      <c r="F336" t="s">
        <v>177</v>
      </c>
      <c r="G336" t="s">
        <v>978</v>
      </c>
      <c r="H336" t="s">
        <v>2561</v>
      </c>
      <c r="I336">
        <v>97.237569060773495</v>
      </c>
      <c r="J336" t="s">
        <v>2063</v>
      </c>
      <c r="K336">
        <v>1</v>
      </c>
      <c r="L336">
        <v>1</v>
      </c>
      <c r="M336" t="s">
        <v>8</v>
      </c>
      <c r="N336" t="s">
        <v>2038</v>
      </c>
      <c r="O336" t="s">
        <v>10</v>
      </c>
      <c r="P336" t="s">
        <v>2562</v>
      </c>
    </row>
    <row r="337" spans="1:16" hidden="1" x14ac:dyDescent="0.2">
      <c r="A337" t="s">
        <v>976</v>
      </c>
      <c r="B337">
        <v>1134</v>
      </c>
      <c r="C337" t="s">
        <v>2059</v>
      </c>
      <c r="D337" t="s">
        <v>2066</v>
      </c>
      <c r="E337" t="s">
        <v>2079</v>
      </c>
      <c r="F337" t="s">
        <v>177</v>
      </c>
      <c r="G337" t="s">
        <v>978</v>
      </c>
      <c r="H337" t="s">
        <v>979</v>
      </c>
      <c r="I337">
        <v>98.342541436464103</v>
      </c>
      <c r="J337" t="s">
        <v>2063</v>
      </c>
      <c r="K337">
        <v>2</v>
      </c>
      <c r="L337">
        <v>1</v>
      </c>
      <c r="M337" t="s">
        <v>8</v>
      </c>
      <c r="N337" t="s">
        <v>2038</v>
      </c>
      <c r="O337" t="s">
        <v>10</v>
      </c>
      <c r="P337" t="s">
        <v>2417</v>
      </c>
    </row>
    <row r="338" spans="1:16" hidden="1" x14ac:dyDescent="0.2">
      <c r="A338" t="s">
        <v>444</v>
      </c>
      <c r="B338">
        <v>384</v>
      </c>
      <c r="C338" t="s">
        <v>2059</v>
      </c>
      <c r="D338" t="s">
        <v>2066</v>
      </c>
      <c r="E338" t="s">
        <v>2079</v>
      </c>
      <c r="F338" t="s">
        <v>177</v>
      </c>
      <c r="G338" t="s">
        <v>445</v>
      </c>
      <c r="H338" t="s">
        <v>446</v>
      </c>
      <c r="I338">
        <v>100</v>
      </c>
      <c r="J338" t="s">
        <v>2063</v>
      </c>
      <c r="K338">
        <v>48</v>
      </c>
      <c r="L338">
        <v>0.97959183673469397</v>
      </c>
      <c r="M338" t="s">
        <v>8</v>
      </c>
      <c r="N338" t="s">
        <v>2038</v>
      </c>
      <c r="O338" t="s">
        <v>10</v>
      </c>
      <c r="P338" t="s">
        <v>2230</v>
      </c>
    </row>
    <row r="339" spans="1:16" hidden="1" x14ac:dyDescent="0.2">
      <c r="A339" t="s">
        <v>678</v>
      </c>
      <c r="B339">
        <v>683</v>
      </c>
      <c r="C339" t="s">
        <v>2059</v>
      </c>
      <c r="D339" t="s">
        <v>2066</v>
      </c>
      <c r="E339" t="s">
        <v>2079</v>
      </c>
      <c r="F339" t="s">
        <v>177</v>
      </c>
      <c r="G339" t="s">
        <v>445</v>
      </c>
      <c r="H339" t="s">
        <v>446</v>
      </c>
      <c r="I339">
        <v>99.447513812154696</v>
      </c>
      <c r="J339" t="s">
        <v>2063</v>
      </c>
      <c r="K339">
        <v>48</v>
      </c>
      <c r="L339">
        <v>0.97959183673469397</v>
      </c>
      <c r="M339" t="s">
        <v>8</v>
      </c>
      <c r="N339" t="s">
        <v>2038</v>
      </c>
      <c r="O339" t="s">
        <v>10</v>
      </c>
      <c r="P339" t="s">
        <v>2230</v>
      </c>
    </row>
    <row r="340" spans="1:16" hidden="1" x14ac:dyDescent="0.2">
      <c r="A340" t="s">
        <v>1609</v>
      </c>
      <c r="B340">
        <v>1975</v>
      </c>
      <c r="C340" t="s">
        <v>2059</v>
      </c>
      <c r="D340" t="s">
        <v>2066</v>
      </c>
      <c r="E340" t="s">
        <v>2079</v>
      </c>
      <c r="F340" t="s">
        <v>177</v>
      </c>
      <c r="G340" t="s">
        <v>445</v>
      </c>
      <c r="H340" t="s">
        <v>446</v>
      </c>
      <c r="I340">
        <v>98.895027624309407</v>
      </c>
      <c r="J340" t="s">
        <v>2063</v>
      </c>
      <c r="K340">
        <v>50</v>
      </c>
      <c r="L340">
        <v>1</v>
      </c>
      <c r="M340" t="s">
        <v>8</v>
      </c>
      <c r="N340" t="s">
        <v>2038</v>
      </c>
      <c r="O340" t="s">
        <v>10</v>
      </c>
      <c r="P340" t="s">
        <v>2230</v>
      </c>
    </row>
    <row r="341" spans="1:16" x14ac:dyDescent="0.2">
      <c r="A341" t="s">
        <v>2546</v>
      </c>
      <c r="B341">
        <v>1800</v>
      </c>
      <c r="C341" t="s">
        <v>2059</v>
      </c>
      <c r="D341" t="s">
        <v>2066</v>
      </c>
      <c r="E341" t="s">
        <v>2067</v>
      </c>
      <c r="F341" t="s">
        <v>276</v>
      </c>
      <c r="I341">
        <v>92.613636363636402</v>
      </c>
      <c r="J341" t="s">
        <v>2063</v>
      </c>
      <c r="K341">
        <v>51</v>
      </c>
      <c r="L341">
        <v>1</v>
      </c>
      <c r="M341" t="s">
        <v>2052</v>
      </c>
      <c r="N341" t="s">
        <v>2714</v>
      </c>
      <c r="O341" t="s">
        <v>10</v>
      </c>
    </row>
    <row r="342" spans="1:16" x14ac:dyDescent="0.2">
      <c r="A342" t="s">
        <v>566</v>
      </c>
      <c r="B342">
        <v>572</v>
      </c>
      <c r="C342" t="s">
        <v>2059</v>
      </c>
      <c r="D342" t="s">
        <v>2069</v>
      </c>
      <c r="E342" t="s">
        <v>2070</v>
      </c>
      <c r="F342" t="s">
        <v>64</v>
      </c>
      <c r="I342">
        <v>92.655367231638394</v>
      </c>
      <c r="J342" t="s">
        <v>2113</v>
      </c>
      <c r="K342">
        <v>19</v>
      </c>
      <c r="L342">
        <v>1</v>
      </c>
      <c r="M342" t="s">
        <v>2052</v>
      </c>
      <c r="N342" t="s">
        <v>2714</v>
      </c>
      <c r="O342" t="s">
        <v>10</v>
      </c>
    </row>
    <row r="343" spans="1:16" x14ac:dyDescent="0.2">
      <c r="A343" t="s">
        <v>850</v>
      </c>
      <c r="B343">
        <v>920</v>
      </c>
      <c r="C343" t="s">
        <v>2059</v>
      </c>
      <c r="D343" t="s">
        <v>2069</v>
      </c>
      <c r="E343" t="s">
        <v>2070</v>
      </c>
      <c r="F343" t="s">
        <v>64</v>
      </c>
      <c r="I343">
        <v>92.655367231638394</v>
      </c>
      <c r="J343" t="s">
        <v>2113</v>
      </c>
      <c r="K343">
        <v>22</v>
      </c>
      <c r="L343">
        <v>1</v>
      </c>
      <c r="M343" t="s">
        <v>2052</v>
      </c>
      <c r="N343" t="s">
        <v>2714</v>
      </c>
      <c r="O343" t="s">
        <v>10</v>
      </c>
    </row>
    <row r="344" spans="1:16" x14ac:dyDescent="0.2">
      <c r="A344" t="s">
        <v>1292</v>
      </c>
      <c r="B344">
        <v>1548</v>
      </c>
      <c r="C344" t="s">
        <v>2059</v>
      </c>
      <c r="D344" t="s">
        <v>2066</v>
      </c>
      <c r="E344" t="s">
        <v>2067</v>
      </c>
      <c r="F344" t="s">
        <v>276</v>
      </c>
      <c r="I344">
        <v>92.655367231638394</v>
      </c>
      <c r="J344" t="s">
        <v>2063</v>
      </c>
      <c r="K344">
        <v>24</v>
      </c>
      <c r="L344">
        <v>1</v>
      </c>
      <c r="M344" t="s">
        <v>2052</v>
      </c>
      <c r="N344" t="s">
        <v>2714</v>
      </c>
      <c r="O344" t="s">
        <v>10</v>
      </c>
    </row>
    <row r="345" spans="1:16" x14ac:dyDescent="0.2">
      <c r="A345" t="s">
        <v>1656</v>
      </c>
      <c r="B345">
        <v>2037</v>
      </c>
      <c r="C345" t="s">
        <v>2059</v>
      </c>
      <c r="D345" t="s">
        <v>2066</v>
      </c>
      <c r="E345" t="s">
        <v>2067</v>
      </c>
      <c r="F345" t="s">
        <v>276</v>
      </c>
      <c r="I345">
        <v>92.655367231638394</v>
      </c>
      <c r="J345" t="s">
        <v>2063</v>
      </c>
      <c r="K345">
        <v>50</v>
      </c>
      <c r="L345">
        <v>1</v>
      </c>
      <c r="M345" t="s">
        <v>2052</v>
      </c>
      <c r="N345" t="s">
        <v>2714</v>
      </c>
      <c r="O345" t="s">
        <v>10</v>
      </c>
    </row>
    <row r="346" spans="1:16" x14ac:dyDescent="0.2">
      <c r="A346" t="s">
        <v>1222</v>
      </c>
      <c r="B346">
        <v>1472</v>
      </c>
      <c r="C346" t="s">
        <v>2059</v>
      </c>
      <c r="D346" t="s">
        <v>2066</v>
      </c>
      <c r="E346" t="s">
        <v>2079</v>
      </c>
      <c r="F346" t="s">
        <v>2479</v>
      </c>
      <c r="I346">
        <v>92.696629213483106</v>
      </c>
      <c r="J346" t="s">
        <v>2063</v>
      </c>
      <c r="K346">
        <v>9</v>
      </c>
      <c r="L346">
        <v>0.19148936170212799</v>
      </c>
      <c r="M346" t="s">
        <v>2052</v>
      </c>
      <c r="N346" t="s">
        <v>2714</v>
      </c>
      <c r="O346" t="s">
        <v>10</v>
      </c>
    </row>
    <row r="347" spans="1:16" x14ac:dyDescent="0.2">
      <c r="A347" t="s">
        <v>2454</v>
      </c>
      <c r="B347">
        <v>1301</v>
      </c>
      <c r="C347" t="s">
        <v>2059</v>
      </c>
      <c r="D347" t="s">
        <v>2069</v>
      </c>
      <c r="I347">
        <v>92.737430167597793</v>
      </c>
      <c r="J347" t="s">
        <v>2063</v>
      </c>
      <c r="K347">
        <v>1</v>
      </c>
      <c r="L347">
        <v>1</v>
      </c>
      <c r="M347" t="s">
        <v>2050</v>
      </c>
      <c r="N347" t="s">
        <v>2714</v>
      </c>
      <c r="O347" t="s">
        <v>10</v>
      </c>
    </row>
    <row r="348" spans="1:16" x14ac:dyDescent="0.2">
      <c r="A348" t="s">
        <v>2663</v>
      </c>
      <c r="B348">
        <v>2297</v>
      </c>
      <c r="C348" t="s">
        <v>2059</v>
      </c>
      <c r="D348" t="s">
        <v>2069</v>
      </c>
      <c r="I348">
        <v>92.737430167597793</v>
      </c>
      <c r="J348" t="s">
        <v>2063</v>
      </c>
      <c r="K348">
        <v>1</v>
      </c>
      <c r="L348">
        <v>1</v>
      </c>
      <c r="M348" t="s">
        <v>2050</v>
      </c>
      <c r="N348" t="s">
        <v>2714</v>
      </c>
      <c r="O348" t="s">
        <v>10</v>
      </c>
    </row>
    <row r="349" spans="1:16" hidden="1" x14ac:dyDescent="0.2">
      <c r="A349" t="s">
        <v>847</v>
      </c>
      <c r="B349">
        <v>918</v>
      </c>
      <c r="C349" t="s">
        <v>2059</v>
      </c>
      <c r="D349" t="s">
        <v>2066</v>
      </c>
      <c r="E349" t="s">
        <v>2079</v>
      </c>
      <c r="F349" t="s">
        <v>80</v>
      </c>
      <c r="G349" t="s">
        <v>2368</v>
      </c>
      <c r="H349" t="s">
        <v>2369</v>
      </c>
      <c r="I349">
        <v>97.7777777777778</v>
      </c>
      <c r="J349" t="s">
        <v>2063</v>
      </c>
      <c r="K349">
        <v>1</v>
      </c>
      <c r="L349">
        <v>1</v>
      </c>
      <c r="M349" t="s">
        <v>8</v>
      </c>
      <c r="N349" t="s">
        <v>2037</v>
      </c>
      <c r="O349" t="s">
        <v>10</v>
      </c>
      <c r="P349" t="s">
        <v>2370</v>
      </c>
    </row>
    <row r="350" spans="1:16" hidden="1" x14ac:dyDescent="0.2">
      <c r="A350" t="s">
        <v>1541</v>
      </c>
      <c r="B350">
        <v>1890</v>
      </c>
      <c r="C350" t="s">
        <v>2059</v>
      </c>
      <c r="D350" t="s">
        <v>2066</v>
      </c>
      <c r="E350" t="s">
        <v>2079</v>
      </c>
      <c r="F350" t="s">
        <v>80</v>
      </c>
      <c r="G350" t="s">
        <v>2368</v>
      </c>
      <c r="H350" t="s">
        <v>2369</v>
      </c>
      <c r="I350">
        <v>97.7777777777778</v>
      </c>
      <c r="J350" t="s">
        <v>2063</v>
      </c>
      <c r="K350">
        <v>1</v>
      </c>
      <c r="L350">
        <v>1</v>
      </c>
      <c r="M350" t="s">
        <v>8</v>
      </c>
      <c r="N350" t="s">
        <v>2037</v>
      </c>
      <c r="O350" t="s">
        <v>10</v>
      </c>
      <c r="P350" t="s">
        <v>2370</v>
      </c>
    </row>
    <row r="351" spans="1:16" x14ac:dyDescent="0.2">
      <c r="A351" t="s">
        <v>29</v>
      </c>
      <c r="B351">
        <v>16</v>
      </c>
      <c r="C351" t="s">
        <v>2059</v>
      </c>
      <c r="D351" t="s">
        <v>2066</v>
      </c>
      <c r="E351" t="s">
        <v>2080</v>
      </c>
      <c r="F351" t="s">
        <v>2081</v>
      </c>
      <c r="I351">
        <v>92.737430167597793</v>
      </c>
      <c r="J351" t="s">
        <v>2063</v>
      </c>
      <c r="K351">
        <v>49</v>
      </c>
      <c r="L351">
        <v>1</v>
      </c>
      <c r="M351" t="s">
        <v>2052</v>
      </c>
      <c r="N351" t="s">
        <v>2714</v>
      </c>
      <c r="O351" t="s">
        <v>2040</v>
      </c>
    </row>
    <row r="352" spans="1:16" x14ac:dyDescent="0.2">
      <c r="A352" t="s">
        <v>786</v>
      </c>
      <c r="B352">
        <v>840</v>
      </c>
      <c r="C352" t="s">
        <v>2059</v>
      </c>
      <c r="D352" t="s">
        <v>2069</v>
      </c>
      <c r="E352" t="s">
        <v>2077</v>
      </c>
      <c r="F352" t="s">
        <v>2348</v>
      </c>
      <c r="I352">
        <v>92.7777777777778</v>
      </c>
      <c r="J352" t="s">
        <v>2063</v>
      </c>
      <c r="K352">
        <v>11</v>
      </c>
      <c r="L352">
        <v>0.22</v>
      </c>
      <c r="M352" t="s">
        <v>2052</v>
      </c>
      <c r="N352" t="s">
        <v>2714</v>
      </c>
      <c r="O352" t="s">
        <v>10</v>
      </c>
    </row>
    <row r="353" spans="1:15" x14ac:dyDescent="0.2">
      <c r="A353" t="s">
        <v>1901</v>
      </c>
      <c r="B353">
        <v>2328</v>
      </c>
      <c r="C353" t="s">
        <v>2059</v>
      </c>
      <c r="D353" t="s">
        <v>2066</v>
      </c>
      <c r="E353" t="s">
        <v>2067</v>
      </c>
      <c r="F353" t="s">
        <v>2214</v>
      </c>
      <c r="I353">
        <v>92.7777777777778</v>
      </c>
      <c r="J353" t="s">
        <v>2063</v>
      </c>
      <c r="K353">
        <v>50</v>
      </c>
      <c r="L353">
        <v>1</v>
      </c>
      <c r="M353" t="s">
        <v>2052</v>
      </c>
      <c r="N353" t="s">
        <v>2714</v>
      </c>
      <c r="O353" t="s">
        <v>10</v>
      </c>
    </row>
    <row r="354" spans="1:15" x14ac:dyDescent="0.2">
      <c r="A354" t="s">
        <v>557</v>
      </c>
      <c r="B354">
        <v>547</v>
      </c>
      <c r="C354" t="s">
        <v>2059</v>
      </c>
      <c r="D354" t="s">
        <v>2069</v>
      </c>
      <c r="E354" t="s">
        <v>2070</v>
      </c>
      <c r="F354" t="s">
        <v>127</v>
      </c>
      <c r="I354">
        <v>92.817679558010994</v>
      </c>
      <c r="J354" t="s">
        <v>2063</v>
      </c>
      <c r="K354">
        <v>4</v>
      </c>
      <c r="L354">
        <v>1</v>
      </c>
      <c r="M354" t="s">
        <v>2052</v>
      </c>
      <c r="N354" t="s">
        <v>2714</v>
      </c>
      <c r="O354" t="s">
        <v>10</v>
      </c>
    </row>
    <row r="355" spans="1:15" x14ac:dyDescent="0.2">
      <c r="A355" t="s">
        <v>2306</v>
      </c>
      <c r="B355">
        <v>656</v>
      </c>
      <c r="C355" t="s">
        <v>2059</v>
      </c>
      <c r="D355" t="s">
        <v>2066</v>
      </c>
      <c r="E355" t="s">
        <v>2091</v>
      </c>
      <c r="I355">
        <v>92.857142857142904</v>
      </c>
      <c r="J355" t="s">
        <v>2063</v>
      </c>
      <c r="K355">
        <v>1</v>
      </c>
      <c r="L355">
        <v>1</v>
      </c>
      <c r="M355" t="s">
        <v>2051</v>
      </c>
      <c r="N355" t="s">
        <v>2714</v>
      </c>
      <c r="O355" t="s">
        <v>10</v>
      </c>
    </row>
    <row r="356" spans="1:15" x14ac:dyDescent="0.2">
      <c r="A356" t="s">
        <v>2354</v>
      </c>
      <c r="B356">
        <v>866</v>
      </c>
      <c r="C356" t="s">
        <v>2059</v>
      </c>
      <c r="D356" t="s">
        <v>2066</v>
      </c>
      <c r="E356" t="s">
        <v>2318</v>
      </c>
      <c r="F356" t="s">
        <v>2355</v>
      </c>
      <c r="I356">
        <v>92.857142857142904</v>
      </c>
      <c r="J356" t="s">
        <v>2063</v>
      </c>
      <c r="K356">
        <v>28</v>
      </c>
      <c r="L356">
        <v>0.62222222222222201</v>
      </c>
      <c r="M356" t="s">
        <v>2052</v>
      </c>
      <c r="N356" t="s">
        <v>2714</v>
      </c>
      <c r="O356" t="s">
        <v>10</v>
      </c>
    </row>
    <row r="357" spans="1:15" x14ac:dyDescent="0.2">
      <c r="A357" t="s">
        <v>2464</v>
      </c>
      <c r="B357">
        <v>1351</v>
      </c>
      <c r="C357" t="s">
        <v>2059</v>
      </c>
      <c r="D357" t="s">
        <v>2066</v>
      </c>
      <c r="E357" t="s">
        <v>2318</v>
      </c>
      <c r="F357" t="s">
        <v>2355</v>
      </c>
      <c r="I357">
        <v>92.857142857142904</v>
      </c>
      <c r="J357" t="s">
        <v>2063</v>
      </c>
      <c r="K357">
        <v>32</v>
      </c>
      <c r="L357">
        <v>0.61538461538461497</v>
      </c>
      <c r="M357" t="s">
        <v>2052</v>
      </c>
      <c r="N357" t="s">
        <v>2714</v>
      </c>
      <c r="O357" t="s">
        <v>10</v>
      </c>
    </row>
    <row r="358" spans="1:15" x14ac:dyDescent="0.2">
      <c r="A358" t="s">
        <v>279</v>
      </c>
      <c r="B358">
        <v>198</v>
      </c>
      <c r="C358" t="s">
        <v>2059</v>
      </c>
      <c r="D358" t="s">
        <v>2066</v>
      </c>
      <c r="E358" t="s">
        <v>2067</v>
      </c>
      <c r="F358" t="s">
        <v>2116</v>
      </c>
      <c r="I358">
        <v>92.896174863387998</v>
      </c>
      <c r="J358" t="s">
        <v>2113</v>
      </c>
      <c r="K358">
        <v>1</v>
      </c>
      <c r="L358">
        <v>1</v>
      </c>
      <c r="M358" t="s">
        <v>2052</v>
      </c>
      <c r="N358" t="s">
        <v>2714</v>
      </c>
      <c r="O358" t="s">
        <v>10</v>
      </c>
    </row>
    <row r="359" spans="1:15" x14ac:dyDescent="0.2">
      <c r="A359" t="s">
        <v>2388</v>
      </c>
      <c r="B359">
        <v>1002</v>
      </c>
      <c r="C359" t="s">
        <v>2059</v>
      </c>
      <c r="D359" t="s">
        <v>2066</v>
      </c>
      <c r="E359" t="s">
        <v>2091</v>
      </c>
      <c r="I359">
        <v>93.048128342246002</v>
      </c>
      <c r="J359" t="s">
        <v>2063</v>
      </c>
      <c r="K359">
        <v>1</v>
      </c>
      <c r="L359">
        <v>1</v>
      </c>
      <c r="M359" t="s">
        <v>2051</v>
      </c>
      <c r="N359" t="s">
        <v>2714</v>
      </c>
      <c r="O359" t="s">
        <v>10</v>
      </c>
    </row>
    <row r="360" spans="1:15" x14ac:dyDescent="0.2">
      <c r="A360" t="s">
        <v>2578</v>
      </c>
      <c r="B360">
        <v>1936</v>
      </c>
      <c r="C360" t="s">
        <v>2059</v>
      </c>
      <c r="D360" t="s">
        <v>2066</v>
      </c>
      <c r="E360" t="s">
        <v>2079</v>
      </c>
      <c r="F360" t="s">
        <v>464</v>
      </c>
      <c r="I360">
        <v>93.137254901960802</v>
      </c>
      <c r="J360" t="s">
        <v>2063</v>
      </c>
      <c r="K360">
        <v>3</v>
      </c>
      <c r="L360">
        <v>1</v>
      </c>
      <c r="M360" t="s">
        <v>2052</v>
      </c>
      <c r="N360" t="s">
        <v>2714</v>
      </c>
      <c r="O360" t="s">
        <v>10</v>
      </c>
    </row>
    <row r="361" spans="1:15" x14ac:dyDescent="0.2">
      <c r="A361" t="s">
        <v>1673</v>
      </c>
      <c r="B361">
        <v>2065</v>
      </c>
      <c r="C361" t="s">
        <v>2059</v>
      </c>
      <c r="D361" t="s">
        <v>2066</v>
      </c>
      <c r="E361" t="s">
        <v>2067</v>
      </c>
      <c r="F361" t="s">
        <v>2072</v>
      </c>
      <c r="I361">
        <v>93.142857142857096</v>
      </c>
      <c r="J361" t="s">
        <v>2063</v>
      </c>
      <c r="K361">
        <v>49</v>
      </c>
      <c r="L361">
        <v>1</v>
      </c>
      <c r="M361" t="s">
        <v>2052</v>
      </c>
      <c r="N361" t="s">
        <v>2714</v>
      </c>
      <c r="O361" t="s">
        <v>10</v>
      </c>
    </row>
    <row r="362" spans="1:15" x14ac:dyDescent="0.2">
      <c r="A362" t="s">
        <v>1092</v>
      </c>
      <c r="B362">
        <v>1291</v>
      </c>
      <c r="C362" t="s">
        <v>2059</v>
      </c>
      <c r="D362" t="s">
        <v>2066</v>
      </c>
      <c r="E362" t="s">
        <v>2090</v>
      </c>
      <c r="F362" t="s">
        <v>46</v>
      </c>
      <c r="I362">
        <v>93.181818181818201</v>
      </c>
      <c r="J362" t="s">
        <v>2063</v>
      </c>
      <c r="K362">
        <v>48</v>
      </c>
      <c r="L362">
        <v>1</v>
      </c>
      <c r="M362" t="s">
        <v>2052</v>
      </c>
      <c r="N362" t="s">
        <v>2714</v>
      </c>
      <c r="O362" t="s">
        <v>10</v>
      </c>
    </row>
    <row r="363" spans="1:15" x14ac:dyDescent="0.2">
      <c r="A363" t="s">
        <v>1808</v>
      </c>
      <c r="B363">
        <v>2223</v>
      </c>
      <c r="C363" t="s">
        <v>2059</v>
      </c>
      <c r="D363" t="s">
        <v>2066</v>
      </c>
      <c r="E363" t="s">
        <v>2090</v>
      </c>
      <c r="F363" t="s">
        <v>46</v>
      </c>
      <c r="I363">
        <v>93.181818181818201</v>
      </c>
      <c r="J363" t="s">
        <v>2063</v>
      </c>
      <c r="K363">
        <v>40</v>
      </c>
      <c r="L363">
        <v>0.85106382978723405</v>
      </c>
      <c r="M363" t="s">
        <v>2052</v>
      </c>
      <c r="N363" t="s">
        <v>2714</v>
      </c>
      <c r="O363" t="s">
        <v>10</v>
      </c>
    </row>
    <row r="364" spans="1:15" x14ac:dyDescent="0.2">
      <c r="A364" t="s">
        <v>824</v>
      </c>
      <c r="B364">
        <v>882</v>
      </c>
      <c r="C364" t="s">
        <v>2059</v>
      </c>
      <c r="D364" t="s">
        <v>2066</v>
      </c>
      <c r="E364" t="s">
        <v>2079</v>
      </c>
      <c r="F364" t="s">
        <v>886</v>
      </c>
      <c r="I364">
        <v>93.220338983050894</v>
      </c>
      <c r="J364" t="s">
        <v>2063</v>
      </c>
      <c r="K364">
        <v>26</v>
      </c>
      <c r="L364">
        <v>0.530612244897959</v>
      </c>
      <c r="M364" t="s">
        <v>2052</v>
      </c>
      <c r="N364" t="s">
        <v>2714</v>
      </c>
      <c r="O364" t="s">
        <v>10</v>
      </c>
    </row>
    <row r="365" spans="1:15" x14ac:dyDescent="0.2">
      <c r="A365" t="s">
        <v>1961</v>
      </c>
      <c r="B365">
        <v>2458</v>
      </c>
      <c r="C365" t="s">
        <v>2059</v>
      </c>
      <c r="D365" t="s">
        <v>2066</v>
      </c>
      <c r="E365" t="s">
        <v>2090</v>
      </c>
      <c r="F365" t="s">
        <v>46</v>
      </c>
      <c r="I365">
        <v>93.220338983050894</v>
      </c>
      <c r="J365" t="s">
        <v>2063</v>
      </c>
      <c r="K365">
        <v>45</v>
      </c>
      <c r="L365">
        <v>0.91836734693877597</v>
      </c>
      <c r="M365" t="s">
        <v>2052</v>
      </c>
      <c r="N365" t="s">
        <v>2714</v>
      </c>
      <c r="O365" t="s">
        <v>10</v>
      </c>
    </row>
    <row r="366" spans="1:15" x14ac:dyDescent="0.2">
      <c r="A366" t="s">
        <v>1014</v>
      </c>
      <c r="B366">
        <v>1180</v>
      </c>
      <c r="C366" t="s">
        <v>2059</v>
      </c>
      <c r="D366" t="s">
        <v>2066</v>
      </c>
      <c r="E366" t="s">
        <v>2079</v>
      </c>
      <c r="F366" t="s">
        <v>159</v>
      </c>
      <c r="I366">
        <v>93.258426966292106</v>
      </c>
      <c r="J366" t="s">
        <v>2063</v>
      </c>
      <c r="K366">
        <v>50</v>
      </c>
      <c r="L366">
        <v>1</v>
      </c>
      <c r="M366" t="s">
        <v>2052</v>
      </c>
      <c r="N366" t="s">
        <v>2714</v>
      </c>
      <c r="O366" t="s">
        <v>10</v>
      </c>
    </row>
    <row r="367" spans="1:15" x14ac:dyDescent="0.2">
      <c r="A367" t="s">
        <v>1502</v>
      </c>
      <c r="B367">
        <v>1844</v>
      </c>
      <c r="C367" t="s">
        <v>2059</v>
      </c>
      <c r="D367" t="s">
        <v>2066</v>
      </c>
      <c r="E367" t="s">
        <v>2090</v>
      </c>
      <c r="F367" t="s">
        <v>46</v>
      </c>
      <c r="I367">
        <v>93.258426966292106</v>
      </c>
      <c r="J367" t="s">
        <v>2063</v>
      </c>
      <c r="K367">
        <v>45</v>
      </c>
      <c r="L367">
        <v>0.9</v>
      </c>
      <c r="M367" t="s">
        <v>2052</v>
      </c>
      <c r="N367" t="s">
        <v>2714</v>
      </c>
      <c r="O367" t="s">
        <v>10</v>
      </c>
    </row>
    <row r="368" spans="1:15" x14ac:dyDescent="0.2">
      <c r="A368" t="s">
        <v>215</v>
      </c>
      <c r="B368">
        <v>153</v>
      </c>
      <c r="C368" t="s">
        <v>2059</v>
      </c>
      <c r="D368" t="s">
        <v>2066</v>
      </c>
      <c r="E368" t="s">
        <v>2080</v>
      </c>
      <c r="F368" t="s">
        <v>2081</v>
      </c>
      <c r="I368">
        <v>93.283582089552198</v>
      </c>
      <c r="J368" t="s">
        <v>2063</v>
      </c>
      <c r="K368">
        <v>41</v>
      </c>
      <c r="L368">
        <v>1</v>
      </c>
      <c r="M368" t="s">
        <v>2052</v>
      </c>
      <c r="N368" t="s">
        <v>2714</v>
      </c>
      <c r="O368" t="s">
        <v>2040</v>
      </c>
    </row>
    <row r="369" spans="1:16" x14ac:dyDescent="0.2">
      <c r="A369" t="s">
        <v>2465</v>
      </c>
      <c r="B369">
        <v>1374</v>
      </c>
      <c r="C369" t="s">
        <v>2059</v>
      </c>
      <c r="D369" t="s">
        <v>2069</v>
      </c>
      <c r="E369" t="s">
        <v>2070</v>
      </c>
      <c r="F369" t="s">
        <v>2332</v>
      </c>
      <c r="I369">
        <v>93.2960893854749</v>
      </c>
      <c r="J369" t="s">
        <v>2113</v>
      </c>
      <c r="K369">
        <v>45</v>
      </c>
      <c r="L369">
        <v>1</v>
      </c>
      <c r="M369" t="s">
        <v>2052</v>
      </c>
      <c r="N369" t="s">
        <v>2714</v>
      </c>
      <c r="O369" t="s">
        <v>10</v>
      </c>
    </row>
    <row r="370" spans="1:16" x14ac:dyDescent="0.2">
      <c r="A370" t="s">
        <v>2644</v>
      </c>
      <c r="B370">
        <v>2213</v>
      </c>
      <c r="C370" t="s">
        <v>2059</v>
      </c>
      <c r="D370" t="s">
        <v>2069</v>
      </c>
      <c r="I370">
        <v>93.2960893854749</v>
      </c>
      <c r="J370" t="s">
        <v>2063</v>
      </c>
      <c r="K370">
        <v>1</v>
      </c>
      <c r="L370">
        <v>1</v>
      </c>
      <c r="M370" t="s">
        <v>2050</v>
      </c>
      <c r="N370" t="s">
        <v>2714</v>
      </c>
      <c r="O370" t="s">
        <v>10</v>
      </c>
    </row>
    <row r="371" spans="1:16" x14ac:dyDescent="0.2">
      <c r="A371" t="s">
        <v>63</v>
      </c>
      <c r="B371">
        <v>30</v>
      </c>
      <c r="C371" t="s">
        <v>2059</v>
      </c>
      <c r="D371" t="s">
        <v>2069</v>
      </c>
      <c r="E371" t="s">
        <v>2070</v>
      </c>
      <c r="F371" t="s">
        <v>64</v>
      </c>
      <c r="I371">
        <v>93.370165745856397</v>
      </c>
      <c r="J371" t="s">
        <v>2063</v>
      </c>
      <c r="K371">
        <v>4</v>
      </c>
      <c r="L371">
        <v>1</v>
      </c>
      <c r="M371" t="s">
        <v>2052</v>
      </c>
      <c r="N371" t="s">
        <v>2714</v>
      </c>
      <c r="O371" t="s">
        <v>10</v>
      </c>
    </row>
    <row r="372" spans="1:16" x14ac:dyDescent="0.2">
      <c r="A372" t="s">
        <v>792</v>
      </c>
      <c r="B372">
        <v>842</v>
      </c>
      <c r="C372" t="s">
        <v>2059</v>
      </c>
      <c r="D372" t="s">
        <v>2066</v>
      </c>
      <c r="E372" t="s">
        <v>2079</v>
      </c>
      <c r="F372" t="s">
        <v>159</v>
      </c>
      <c r="I372">
        <v>93.370165745856397</v>
      </c>
      <c r="J372" t="s">
        <v>2063</v>
      </c>
      <c r="K372">
        <v>50</v>
      </c>
      <c r="L372">
        <v>1</v>
      </c>
      <c r="M372" t="s">
        <v>2052</v>
      </c>
      <c r="N372" t="s">
        <v>2714</v>
      </c>
      <c r="O372" t="s">
        <v>10</v>
      </c>
    </row>
    <row r="373" spans="1:16" x14ac:dyDescent="0.2">
      <c r="A373" t="s">
        <v>1574</v>
      </c>
      <c r="B373">
        <v>1927</v>
      </c>
      <c r="C373" t="s">
        <v>2059</v>
      </c>
      <c r="D373" t="s">
        <v>2066</v>
      </c>
      <c r="E373" t="s">
        <v>2067</v>
      </c>
      <c r="F373" t="s">
        <v>2214</v>
      </c>
      <c r="I373">
        <v>93.370165745856397</v>
      </c>
      <c r="J373" t="s">
        <v>2063</v>
      </c>
      <c r="K373">
        <v>2</v>
      </c>
      <c r="L373">
        <v>1</v>
      </c>
      <c r="M373" t="s">
        <v>2052</v>
      </c>
      <c r="N373" t="s">
        <v>2714</v>
      </c>
      <c r="O373" t="s">
        <v>10</v>
      </c>
    </row>
    <row r="374" spans="1:16" x14ac:dyDescent="0.2">
      <c r="A374" t="s">
        <v>1779</v>
      </c>
      <c r="B374">
        <v>2190</v>
      </c>
      <c r="C374" t="s">
        <v>2059</v>
      </c>
      <c r="D374" t="s">
        <v>2066</v>
      </c>
      <c r="E374" t="s">
        <v>2082</v>
      </c>
      <c r="F374" t="s">
        <v>241</v>
      </c>
      <c r="I374">
        <v>93.370165745856397</v>
      </c>
      <c r="J374" t="s">
        <v>2113</v>
      </c>
      <c r="K374">
        <v>17</v>
      </c>
      <c r="L374">
        <v>0.33333333333333298</v>
      </c>
      <c r="M374" t="s">
        <v>2052</v>
      </c>
      <c r="N374" t="s">
        <v>2037</v>
      </c>
      <c r="O374" t="s">
        <v>10</v>
      </c>
    </row>
    <row r="375" spans="1:16" x14ac:dyDescent="0.2">
      <c r="A375" t="s">
        <v>2451</v>
      </c>
      <c r="B375">
        <v>1289</v>
      </c>
      <c r="C375" t="s">
        <v>2059</v>
      </c>
      <c r="I375">
        <v>93.406593406593402</v>
      </c>
      <c r="J375" t="s">
        <v>2063</v>
      </c>
      <c r="K375">
        <v>1</v>
      </c>
      <c r="L375">
        <v>1</v>
      </c>
      <c r="M375" t="s">
        <v>2049</v>
      </c>
      <c r="N375" t="s">
        <v>2714</v>
      </c>
      <c r="O375" t="s">
        <v>10</v>
      </c>
    </row>
    <row r="376" spans="1:16" hidden="1" x14ac:dyDescent="0.2">
      <c r="A376" t="s">
        <v>374</v>
      </c>
      <c r="B376">
        <v>294</v>
      </c>
      <c r="C376" t="s">
        <v>2059</v>
      </c>
      <c r="D376" t="s">
        <v>2066</v>
      </c>
      <c r="E376" t="s">
        <v>2079</v>
      </c>
      <c r="F376" t="s">
        <v>376</v>
      </c>
      <c r="G376" t="s">
        <v>2201</v>
      </c>
      <c r="H376" t="s">
        <v>2202</v>
      </c>
      <c r="I376">
        <v>97.790055248618799</v>
      </c>
      <c r="J376" t="s">
        <v>2063</v>
      </c>
      <c r="K376">
        <v>37</v>
      </c>
      <c r="L376">
        <v>0.90243902439024404</v>
      </c>
      <c r="M376" t="s">
        <v>8</v>
      </c>
      <c r="N376" t="s">
        <v>2038</v>
      </c>
      <c r="O376" t="s">
        <v>10</v>
      </c>
      <c r="P376" t="s">
        <v>2203</v>
      </c>
    </row>
    <row r="377" spans="1:16" hidden="1" x14ac:dyDescent="0.2">
      <c r="A377" t="s">
        <v>1689</v>
      </c>
      <c r="B377">
        <v>2090</v>
      </c>
      <c r="C377" t="s">
        <v>2059</v>
      </c>
      <c r="D377" t="s">
        <v>2066</v>
      </c>
      <c r="E377" t="s">
        <v>2079</v>
      </c>
      <c r="F377" t="s">
        <v>376</v>
      </c>
      <c r="G377" t="s">
        <v>2201</v>
      </c>
      <c r="H377" t="s">
        <v>2202</v>
      </c>
      <c r="I377">
        <v>97.237569060773495</v>
      </c>
      <c r="J377" t="s">
        <v>2063</v>
      </c>
      <c r="K377">
        <v>35</v>
      </c>
      <c r="L377">
        <v>0.92105263157894701</v>
      </c>
      <c r="M377" t="s">
        <v>8</v>
      </c>
      <c r="N377" t="s">
        <v>2038</v>
      </c>
      <c r="O377" t="s">
        <v>10</v>
      </c>
      <c r="P377" t="s">
        <v>2203</v>
      </c>
    </row>
    <row r="378" spans="1:16" hidden="1" x14ac:dyDescent="0.2">
      <c r="A378" t="s">
        <v>1943</v>
      </c>
      <c r="B378">
        <v>2403</v>
      </c>
      <c r="C378" t="s">
        <v>2059</v>
      </c>
      <c r="D378" t="s">
        <v>2066</v>
      </c>
      <c r="E378" t="s">
        <v>2079</v>
      </c>
      <c r="F378" t="s">
        <v>2686</v>
      </c>
      <c r="G378" t="s">
        <v>1944</v>
      </c>
      <c r="H378" t="s">
        <v>1945</v>
      </c>
      <c r="I378">
        <v>100</v>
      </c>
      <c r="J378" t="s">
        <v>2063</v>
      </c>
      <c r="K378">
        <v>47</v>
      </c>
      <c r="L378">
        <v>1</v>
      </c>
      <c r="M378" t="s">
        <v>8</v>
      </c>
      <c r="N378" t="s">
        <v>2038</v>
      </c>
      <c r="O378" t="s">
        <v>10</v>
      </c>
      <c r="P378" t="s">
        <v>2687</v>
      </c>
    </row>
    <row r="379" spans="1:16" hidden="1" x14ac:dyDescent="0.2">
      <c r="A379" t="s">
        <v>2003</v>
      </c>
      <c r="B379">
        <v>2547</v>
      </c>
      <c r="C379" t="s">
        <v>2059</v>
      </c>
      <c r="D379" t="s">
        <v>2066</v>
      </c>
      <c r="E379" t="s">
        <v>2079</v>
      </c>
      <c r="F379" t="s">
        <v>2686</v>
      </c>
      <c r="G379" t="s">
        <v>1944</v>
      </c>
      <c r="H379" t="s">
        <v>1945</v>
      </c>
      <c r="I379">
        <v>99.447513812154696</v>
      </c>
      <c r="J379" t="s">
        <v>2063</v>
      </c>
      <c r="K379">
        <v>47</v>
      </c>
      <c r="L379">
        <v>1</v>
      </c>
      <c r="M379" t="s">
        <v>8</v>
      </c>
      <c r="N379" t="s">
        <v>2038</v>
      </c>
      <c r="O379" t="s">
        <v>10</v>
      </c>
      <c r="P379" t="s">
        <v>2687</v>
      </c>
    </row>
    <row r="380" spans="1:16" x14ac:dyDescent="0.2">
      <c r="A380" t="s">
        <v>1954</v>
      </c>
      <c r="B380">
        <v>2426</v>
      </c>
      <c r="C380" t="s">
        <v>2059</v>
      </c>
      <c r="D380" t="s">
        <v>2066</v>
      </c>
      <c r="E380" t="s">
        <v>2067</v>
      </c>
      <c r="I380">
        <v>93.442622950819697</v>
      </c>
      <c r="J380" t="s">
        <v>2063</v>
      </c>
      <c r="K380">
        <v>2</v>
      </c>
      <c r="L380">
        <v>1</v>
      </c>
      <c r="M380" t="s">
        <v>2051</v>
      </c>
      <c r="N380" t="s">
        <v>2714</v>
      </c>
      <c r="O380" t="s">
        <v>10</v>
      </c>
    </row>
    <row r="381" spans="1:16" x14ac:dyDescent="0.2">
      <c r="A381" t="s">
        <v>2176</v>
      </c>
      <c r="B381">
        <v>230</v>
      </c>
      <c r="C381" t="s">
        <v>2059</v>
      </c>
      <c r="D381" t="s">
        <v>2066</v>
      </c>
      <c r="E381" t="s">
        <v>2080</v>
      </c>
      <c r="I381">
        <v>93.442622950819697</v>
      </c>
      <c r="J381" t="s">
        <v>2063</v>
      </c>
      <c r="K381">
        <v>1</v>
      </c>
      <c r="L381">
        <v>1</v>
      </c>
      <c r="M381" t="s">
        <v>2051</v>
      </c>
      <c r="N381" t="s">
        <v>2714</v>
      </c>
      <c r="O381" t="s">
        <v>10</v>
      </c>
    </row>
    <row r="382" spans="1:16" hidden="1" x14ac:dyDescent="0.2">
      <c r="A382" t="s">
        <v>588</v>
      </c>
      <c r="B382">
        <v>601</v>
      </c>
      <c r="C382" t="s">
        <v>2059</v>
      </c>
      <c r="D382" t="s">
        <v>2066</v>
      </c>
      <c r="E382" t="s">
        <v>2079</v>
      </c>
      <c r="F382" t="s">
        <v>2285</v>
      </c>
      <c r="G382" t="s">
        <v>590</v>
      </c>
      <c r="H382" t="s">
        <v>2286</v>
      </c>
      <c r="I382">
        <v>97.790055248618799</v>
      </c>
      <c r="J382" t="s">
        <v>2063</v>
      </c>
      <c r="K382">
        <v>28</v>
      </c>
      <c r="L382">
        <v>0.65116279069767402</v>
      </c>
      <c r="M382" t="s">
        <v>8</v>
      </c>
      <c r="N382" t="s">
        <v>2038</v>
      </c>
      <c r="O382" t="s">
        <v>10</v>
      </c>
      <c r="P382" t="s">
        <v>2287</v>
      </c>
    </row>
    <row r="383" spans="1:16" hidden="1" x14ac:dyDescent="0.2">
      <c r="A383" t="s">
        <v>822</v>
      </c>
      <c r="B383">
        <v>880</v>
      </c>
      <c r="C383" t="s">
        <v>2059</v>
      </c>
      <c r="D383" t="s">
        <v>2066</v>
      </c>
      <c r="E383" t="s">
        <v>2079</v>
      </c>
      <c r="F383" t="s">
        <v>2285</v>
      </c>
      <c r="G383" t="s">
        <v>590</v>
      </c>
      <c r="H383" t="s">
        <v>591</v>
      </c>
      <c r="I383">
        <v>100</v>
      </c>
      <c r="J383" t="s">
        <v>2063</v>
      </c>
      <c r="K383">
        <v>44</v>
      </c>
      <c r="L383">
        <v>0.81481481481481499</v>
      </c>
      <c r="M383" t="s">
        <v>8</v>
      </c>
      <c r="N383" t="s">
        <v>2038</v>
      </c>
      <c r="O383" t="s">
        <v>10</v>
      </c>
      <c r="P383" t="s">
        <v>2357</v>
      </c>
    </row>
    <row r="384" spans="1:16" hidden="1" x14ac:dyDescent="0.2">
      <c r="A384" t="s">
        <v>937</v>
      </c>
      <c r="B384">
        <v>1050</v>
      </c>
      <c r="C384" t="s">
        <v>2059</v>
      </c>
      <c r="D384" t="s">
        <v>2066</v>
      </c>
      <c r="E384" t="s">
        <v>2079</v>
      </c>
      <c r="F384" t="s">
        <v>2285</v>
      </c>
      <c r="G384" t="s">
        <v>590</v>
      </c>
      <c r="H384" t="s">
        <v>591</v>
      </c>
      <c r="I384">
        <v>98.895027624309407</v>
      </c>
      <c r="J384" t="s">
        <v>2063</v>
      </c>
      <c r="K384">
        <v>45</v>
      </c>
      <c r="L384">
        <v>0.81818181818181801</v>
      </c>
      <c r="M384" t="s">
        <v>8</v>
      </c>
      <c r="N384" t="s">
        <v>2038</v>
      </c>
      <c r="O384" t="s">
        <v>10</v>
      </c>
      <c r="P384" t="s">
        <v>2357</v>
      </c>
    </row>
    <row r="385" spans="1:16" hidden="1" x14ac:dyDescent="0.2">
      <c r="A385" t="s">
        <v>643</v>
      </c>
      <c r="B385">
        <v>646</v>
      </c>
      <c r="C385" t="s">
        <v>2059</v>
      </c>
      <c r="D385" t="s">
        <v>2066</v>
      </c>
      <c r="E385" t="s">
        <v>2079</v>
      </c>
      <c r="F385" t="s">
        <v>2298</v>
      </c>
      <c r="G385" t="s">
        <v>645</v>
      </c>
      <c r="H385" t="s">
        <v>646</v>
      </c>
      <c r="I385">
        <v>100</v>
      </c>
      <c r="J385" t="s">
        <v>2063</v>
      </c>
      <c r="K385">
        <v>48</v>
      </c>
      <c r="L385">
        <v>1</v>
      </c>
      <c r="M385" t="s">
        <v>8</v>
      </c>
      <c r="N385" t="s">
        <v>2038</v>
      </c>
      <c r="O385" t="s">
        <v>10</v>
      </c>
      <c r="P385" t="s">
        <v>2303</v>
      </c>
    </row>
    <row r="386" spans="1:16" x14ac:dyDescent="0.2">
      <c r="A386" t="s">
        <v>2693</v>
      </c>
      <c r="B386">
        <v>2443</v>
      </c>
      <c r="C386" t="s">
        <v>2059</v>
      </c>
      <c r="I386">
        <v>93.442622950819697</v>
      </c>
      <c r="J386" t="s">
        <v>2063</v>
      </c>
      <c r="K386">
        <v>1</v>
      </c>
      <c r="L386">
        <v>1</v>
      </c>
      <c r="M386" t="s">
        <v>2049</v>
      </c>
      <c r="N386" t="s">
        <v>2714</v>
      </c>
      <c r="O386" t="s">
        <v>10</v>
      </c>
    </row>
    <row r="387" spans="1:16" x14ac:dyDescent="0.2">
      <c r="A387" t="s">
        <v>318</v>
      </c>
      <c r="B387">
        <v>228</v>
      </c>
      <c r="C387" t="s">
        <v>2059</v>
      </c>
      <c r="D387" t="s">
        <v>2066</v>
      </c>
      <c r="E387" t="s">
        <v>2086</v>
      </c>
      <c r="F387" t="s">
        <v>2100</v>
      </c>
      <c r="I387">
        <v>93.529411764705898</v>
      </c>
      <c r="J387" t="s">
        <v>2063</v>
      </c>
      <c r="K387">
        <v>47</v>
      </c>
      <c r="L387">
        <v>0.94</v>
      </c>
      <c r="M387" t="s">
        <v>2052</v>
      </c>
      <c r="N387" t="s">
        <v>2714</v>
      </c>
      <c r="O387" t="s">
        <v>10</v>
      </c>
    </row>
    <row r="388" spans="1:16" x14ac:dyDescent="0.2">
      <c r="A388" t="s">
        <v>2617</v>
      </c>
      <c r="B388">
        <v>2106</v>
      </c>
      <c r="C388" t="s">
        <v>2059</v>
      </c>
      <c r="D388" t="s">
        <v>2066</v>
      </c>
      <c r="E388" t="s">
        <v>2067</v>
      </c>
      <c r="I388">
        <v>93.582887700534798</v>
      </c>
      <c r="J388" t="s">
        <v>2113</v>
      </c>
      <c r="K388">
        <v>2</v>
      </c>
      <c r="L388">
        <v>1</v>
      </c>
      <c r="M388" t="s">
        <v>2051</v>
      </c>
      <c r="N388" t="s">
        <v>2714</v>
      </c>
      <c r="O388" t="s">
        <v>10</v>
      </c>
    </row>
    <row r="389" spans="1:16" x14ac:dyDescent="0.2">
      <c r="A389" t="s">
        <v>1819</v>
      </c>
      <c r="B389">
        <v>2238</v>
      </c>
      <c r="C389" t="s">
        <v>2059</v>
      </c>
      <c r="D389" t="s">
        <v>2066</v>
      </c>
      <c r="E389" t="s">
        <v>2067</v>
      </c>
      <c r="I389">
        <v>93.582887700534798</v>
      </c>
      <c r="J389" t="s">
        <v>2113</v>
      </c>
      <c r="K389">
        <v>2</v>
      </c>
      <c r="L389">
        <v>1</v>
      </c>
      <c r="M389" t="s">
        <v>2051</v>
      </c>
      <c r="N389" t="s">
        <v>2714</v>
      </c>
      <c r="O389" t="s">
        <v>10</v>
      </c>
    </row>
    <row r="390" spans="1:16" x14ac:dyDescent="0.2">
      <c r="A390" t="s">
        <v>2675</v>
      </c>
      <c r="B390">
        <v>2344</v>
      </c>
      <c r="C390" t="s">
        <v>2059</v>
      </c>
      <c r="D390" t="s">
        <v>2066</v>
      </c>
      <c r="E390" t="s">
        <v>2067</v>
      </c>
      <c r="I390">
        <v>93.582887700534798</v>
      </c>
      <c r="J390" t="s">
        <v>2113</v>
      </c>
      <c r="K390">
        <v>2</v>
      </c>
      <c r="L390">
        <v>1</v>
      </c>
      <c r="M390" t="s">
        <v>2051</v>
      </c>
      <c r="N390" t="s">
        <v>2714</v>
      </c>
      <c r="O390" t="s">
        <v>10</v>
      </c>
    </row>
    <row r="391" spans="1:16" x14ac:dyDescent="0.2">
      <c r="A391" t="s">
        <v>1586</v>
      </c>
      <c r="B391">
        <v>1958</v>
      </c>
      <c r="C391" t="s">
        <v>2059</v>
      </c>
      <c r="D391" t="s">
        <v>2066</v>
      </c>
      <c r="E391" t="s">
        <v>2090</v>
      </c>
      <c r="F391" t="s">
        <v>46</v>
      </c>
      <c r="I391">
        <v>93.604651162790702</v>
      </c>
      <c r="J391" t="s">
        <v>2063</v>
      </c>
      <c r="K391">
        <v>32</v>
      </c>
      <c r="L391">
        <v>0.64</v>
      </c>
      <c r="M391" t="s">
        <v>2052</v>
      </c>
      <c r="N391" t="s">
        <v>2714</v>
      </c>
      <c r="O391" t="s">
        <v>10</v>
      </c>
    </row>
    <row r="392" spans="1:16" hidden="1" x14ac:dyDescent="0.2">
      <c r="A392" t="s">
        <v>1136</v>
      </c>
      <c r="B392">
        <v>1344</v>
      </c>
      <c r="C392" t="s">
        <v>2059</v>
      </c>
      <c r="D392" t="s">
        <v>2066</v>
      </c>
      <c r="E392" t="s">
        <v>2079</v>
      </c>
      <c r="F392" t="s">
        <v>2298</v>
      </c>
      <c r="G392" t="s">
        <v>2461</v>
      </c>
      <c r="H392" t="s">
        <v>2462</v>
      </c>
      <c r="I392">
        <v>100</v>
      </c>
      <c r="J392" t="s">
        <v>2063</v>
      </c>
      <c r="K392">
        <v>45</v>
      </c>
      <c r="L392">
        <v>1</v>
      </c>
      <c r="M392" t="s">
        <v>8</v>
      </c>
      <c r="N392" t="s">
        <v>2038</v>
      </c>
      <c r="O392" t="s">
        <v>10</v>
      </c>
      <c r="P392" t="s">
        <v>2463</v>
      </c>
    </row>
    <row r="393" spans="1:16" x14ac:dyDescent="0.2">
      <c r="A393" t="s">
        <v>2598</v>
      </c>
      <c r="B393">
        <v>2022</v>
      </c>
      <c r="C393" t="s">
        <v>2059</v>
      </c>
      <c r="D393" t="s">
        <v>2066</v>
      </c>
      <c r="E393" t="s">
        <v>2080</v>
      </c>
      <c r="F393" t="s">
        <v>2081</v>
      </c>
      <c r="I393">
        <v>93.670886075949397</v>
      </c>
      <c r="J393" t="s">
        <v>2063</v>
      </c>
      <c r="K393">
        <v>46</v>
      </c>
      <c r="L393">
        <v>1</v>
      </c>
      <c r="M393" t="s">
        <v>2052</v>
      </c>
      <c r="N393" t="s">
        <v>2714</v>
      </c>
      <c r="O393" t="s">
        <v>2040</v>
      </c>
    </row>
    <row r="394" spans="1:16" x14ac:dyDescent="0.2">
      <c r="A394" t="s">
        <v>2428</v>
      </c>
      <c r="B394">
        <v>1196</v>
      </c>
      <c r="C394" t="s">
        <v>2059</v>
      </c>
      <c r="D394" t="s">
        <v>2066</v>
      </c>
      <c r="E394" t="s">
        <v>2080</v>
      </c>
      <c r="F394" t="s">
        <v>2081</v>
      </c>
      <c r="I394">
        <v>93.710691823899396</v>
      </c>
      <c r="J394" t="s">
        <v>2063</v>
      </c>
      <c r="K394">
        <v>49</v>
      </c>
      <c r="L394">
        <v>1</v>
      </c>
      <c r="M394" t="s">
        <v>2052</v>
      </c>
      <c r="N394" t="s">
        <v>2714</v>
      </c>
      <c r="O394" t="s">
        <v>2040</v>
      </c>
    </row>
    <row r="395" spans="1:16" x14ac:dyDescent="0.2">
      <c r="A395" t="s">
        <v>340</v>
      </c>
      <c r="B395">
        <v>262</v>
      </c>
      <c r="C395" t="s">
        <v>2059</v>
      </c>
      <c r="D395" t="s">
        <v>2066</v>
      </c>
      <c r="E395" t="s">
        <v>2079</v>
      </c>
      <c r="F395" t="s">
        <v>886</v>
      </c>
      <c r="I395">
        <v>93.75</v>
      </c>
      <c r="J395" t="s">
        <v>2063</v>
      </c>
      <c r="K395">
        <v>31</v>
      </c>
      <c r="L395">
        <v>0.63265306122449005</v>
      </c>
      <c r="M395" t="s">
        <v>2052</v>
      </c>
      <c r="N395" t="s">
        <v>2714</v>
      </c>
      <c r="O395" t="s">
        <v>10</v>
      </c>
    </row>
    <row r="396" spans="1:16" x14ac:dyDescent="0.2">
      <c r="A396" t="s">
        <v>2068</v>
      </c>
      <c r="B396">
        <v>6</v>
      </c>
      <c r="C396" t="s">
        <v>2059</v>
      </c>
      <c r="D396" t="s">
        <v>2066</v>
      </c>
      <c r="E396" t="s">
        <v>2067</v>
      </c>
      <c r="F396" t="s">
        <v>276</v>
      </c>
      <c r="I396">
        <v>93.75</v>
      </c>
      <c r="J396" t="s">
        <v>2063</v>
      </c>
      <c r="K396">
        <v>50</v>
      </c>
      <c r="L396">
        <v>1</v>
      </c>
      <c r="M396" t="s">
        <v>2052</v>
      </c>
      <c r="N396" t="s">
        <v>2714</v>
      </c>
      <c r="O396" t="s">
        <v>10</v>
      </c>
    </row>
    <row r="397" spans="1:16" x14ac:dyDescent="0.2">
      <c r="A397" t="s">
        <v>1925</v>
      </c>
      <c r="B397">
        <v>2376</v>
      </c>
      <c r="C397" t="s">
        <v>2059</v>
      </c>
      <c r="D397" t="s">
        <v>2066</v>
      </c>
      <c r="E397" t="s">
        <v>2067</v>
      </c>
      <c r="F397" t="s">
        <v>2134</v>
      </c>
      <c r="I397">
        <v>93.75</v>
      </c>
      <c r="J397" t="s">
        <v>2063</v>
      </c>
      <c r="K397">
        <v>50</v>
      </c>
      <c r="L397">
        <v>1</v>
      </c>
      <c r="M397" t="s">
        <v>2052</v>
      </c>
      <c r="N397" t="s">
        <v>2714</v>
      </c>
      <c r="O397" t="s">
        <v>10</v>
      </c>
    </row>
    <row r="398" spans="1:16" x14ac:dyDescent="0.2">
      <c r="A398" t="s">
        <v>1919</v>
      </c>
      <c r="B398">
        <v>2360</v>
      </c>
      <c r="C398" t="s">
        <v>2059</v>
      </c>
      <c r="D398" t="s">
        <v>2066</v>
      </c>
      <c r="E398" t="s">
        <v>2080</v>
      </c>
      <c r="F398" t="s">
        <v>2081</v>
      </c>
      <c r="I398">
        <v>93.75</v>
      </c>
      <c r="J398" t="s">
        <v>2063</v>
      </c>
      <c r="K398">
        <v>50</v>
      </c>
      <c r="L398">
        <v>1</v>
      </c>
      <c r="M398" t="s">
        <v>2052</v>
      </c>
      <c r="N398" t="s">
        <v>2714</v>
      </c>
      <c r="O398" t="s">
        <v>2040</v>
      </c>
    </row>
    <row r="399" spans="1:16" x14ac:dyDescent="0.2">
      <c r="A399" t="s">
        <v>1548</v>
      </c>
      <c r="B399">
        <v>1894</v>
      </c>
      <c r="C399" t="s">
        <v>2059</v>
      </c>
      <c r="D399" t="s">
        <v>2066</v>
      </c>
      <c r="E399" t="s">
        <v>2090</v>
      </c>
      <c r="F399" t="s">
        <v>46</v>
      </c>
      <c r="I399">
        <v>93.75</v>
      </c>
      <c r="J399" t="s">
        <v>2063</v>
      </c>
      <c r="K399">
        <v>40</v>
      </c>
      <c r="L399">
        <v>0.85106382978723405</v>
      </c>
      <c r="M399" t="s">
        <v>2052</v>
      </c>
      <c r="N399" t="s">
        <v>2714</v>
      </c>
      <c r="O399" t="s">
        <v>10</v>
      </c>
    </row>
    <row r="400" spans="1:16" x14ac:dyDescent="0.2">
      <c r="A400" t="s">
        <v>2217</v>
      </c>
      <c r="B400">
        <v>355</v>
      </c>
      <c r="C400" t="s">
        <v>2059</v>
      </c>
      <c r="D400" t="s">
        <v>2069</v>
      </c>
      <c r="E400" t="s">
        <v>2070</v>
      </c>
      <c r="F400" t="s">
        <v>2169</v>
      </c>
      <c r="I400">
        <v>93.785310734463295</v>
      </c>
      <c r="J400" t="s">
        <v>2063</v>
      </c>
      <c r="K400">
        <v>50</v>
      </c>
      <c r="L400">
        <v>1</v>
      </c>
      <c r="M400" t="s">
        <v>2052</v>
      </c>
      <c r="N400" t="s">
        <v>2714</v>
      </c>
      <c r="O400" t="s">
        <v>10</v>
      </c>
    </row>
    <row r="401" spans="1:16" hidden="1" x14ac:dyDescent="0.2">
      <c r="A401" t="s">
        <v>219</v>
      </c>
      <c r="B401">
        <v>159</v>
      </c>
      <c r="C401" t="s">
        <v>2059</v>
      </c>
      <c r="D401" t="s">
        <v>2066</v>
      </c>
      <c r="E401" t="s">
        <v>2079</v>
      </c>
      <c r="F401" t="s">
        <v>221</v>
      </c>
      <c r="G401" t="s">
        <v>222</v>
      </c>
      <c r="H401" t="s">
        <v>223</v>
      </c>
      <c r="I401">
        <v>100</v>
      </c>
      <c r="J401" t="s">
        <v>2113</v>
      </c>
      <c r="K401">
        <v>36</v>
      </c>
      <c r="L401">
        <v>0.97297297297297303</v>
      </c>
      <c r="M401" t="s">
        <v>8</v>
      </c>
      <c r="N401" t="s">
        <v>2038</v>
      </c>
      <c r="O401" t="s">
        <v>10</v>
      </c>
      <c r="P401" t="s">
        <v>2153</v>
      </c>
    </row>
    <row r="402" spans="1:16" x14ac:dyDescent="0.2">
      <c r="A402" t="s">
        <v>411</v>
      </c>
      <c r="B402">
        <v>332</v>
      </c>
      <c r="C402" t="s">
        <v>2059</v>
      </c>
      <c r="D402" t="s">
        <v>2066</v>
      </c>
      <c r="E402" t="s">
        <v>2079</v>
      </c>
      <c r="F402" t="s">
        <v>886</v>
      </c>
      <c r="I402">
        <v>93.785310734463295</v>
      </c>
      <c r="J402" t="s">
        <v>2063</v>
      </c>
      <c r="K402">
        <v>29</v>
      </c>
      <c r="L402">
        <v>0.57999999999999996</v>
      </c>
      <c r="M402" t="s">
        <v>2052</v>
      </c>
      <c r="N402" t="s">
        <v>2714</v>
      </c>
      <c r="O402" t="s">
        <v>10</v>
      </c>
    </row>
    <row r="403" spans="1:16" x14ac:dyDescent="0.2">
      <c r="A403" t="s">
        <v>1730</v>
      </c>
      <c r="B403">
        <v>2148</v>
      </c>
      <c r="C403" t="s">
        <v>2059</v>
      </c>
      <c r="D403" t="s">
        <v>2066</v>
      </c>
      <c r="E403" t="s">
        <v>2090</v>
      </c>
      <c r="F403" t="s">
        <v>46</v>
      </c>
      <c r="I403">
        <v>93.785310734463295</v>
      </c>
      <c r="J403" t="s">
        <v>2063</v>
      </c>
      <c r="K403">
        <v>46</v>
      </c>
      <c r="L403">
        <v>0.93877551020408201</v>
      </c>
      <c r="M403" t="s">
        <v>2052</v>
      </c>
      <c r="N403" t="s">
        <v>2714</v>
      </c>
      <c r="O403" t="s">
        <v>10</v>
      </c>
    </row>
    <row r="404" spans="1:16" x14ac:dyDescent="0.2">
      <c r="A404" t="s">
        <v>523</v>
      </c>
      <c r="B404">
        <v>511</v>
      </c>
      <c r="C404" t="s">
        <v>2059</v>
      </c>
      <c r="D404" t="s">
        <v>2066</v>
      </c>
      <c r="E404" t="s">
        <v>2079</v>
      </c>
      <c r="F404" t="s">
        <v>221</v>
      </c>
      <c r="I404">
        <v>93.854748603351993</v>
      </c>
      <c r="J404" t="s">
        <v>2063</v>
      </c>
      <c r="K404">
        <v>49</v>
      </c>
      <c r="L404">
        <v>0.98</v>
      </c>
      <c r="M404" t="s">
        <v>2052</v>
      </c>
      <c r="N404" t="s">
        <v>2714</v>
      </c>
      <c r="O404" t="s">
        <v>10</v>
      </c>
    </row>
    <row r="405" spans="1:16" hidden="1" x14ac:dyDescent="0.2">
      <c r="A405" t="s">
        <v>1296</v>
      </c>
      <c r="B405">
        <v>1551</v>
      </c>
      <c r="C405" t="s">
        <v>2059</v>
      </c>
      <c r="D405" t="s">
        <v>2066</v>
      </c>
      <c r="E405" t="s">
        <v>2079</v>
      </c>
      <c r="F405" t="s">
        <v>315</v>
      </c>
      <c r="G405" t="s">
        <v>355</v>
      </c>
      <c r="H405" t="s">
        <v>356</v>
      </c>
      <c r="I405">
        <v>99.447513812154696</v>
      </c>
      <c r="J405" t="s">
        <v>2113</v>
      </c>
      <c r="K405">
        <v>12</v>
      </c>
      <c r="L405">
        <v>0.4</v>
      </c>
      <c r="M405" t="s">
        <v>8</v>
      </c>
      <c r="N405" t="s">
        <v>2038</v>
      </c>
      <c r="O405" t="s">
        <v>10</v>
      </c>
      <c r="P405" t="s">
        <v>2506</v>
      </c>
    </row>
    <row r="406" spans="1:16" hidden="1" x14ac:dyDescent="0.2">
      <c r="A406" t="s">
        <v>1837</v>
      </c>
      <c r="B406">
        <v>2261</v>
      </c>
      <c r="C406" t="s">
        <v>2059</v>
      </c>
      <c r="D406" t="s">
        <v>2066</v>
      </c>
      <c r="E406" t="s">
        <v>2079</v>
      </c>
      <c r="F406" t="s">
        <v>315</v>
      </c>
      <c r="G406" t="s">
        <v>355</v>
      </c>
      <c r="H406" t="s">
        <v>356</v>
      </c>
      <c r="I406">
        <v>98.895027624309407</v>
      </c>
      <c r="J406" t="s">
        <v>2113</v>
      </c>
      <c r="K406">
        <v>12</v>
      </c>
      <c r="L406">
        <v>0.4</v>
      </c>
      <c r="M406" t="s">
        <v>8</v>
      </c>
      <c r="N406" t="s">
        <v>2038</v>
      </c>
      <c r="O406" t="s">
        <v>10</v>
      </c>
      <c r="P406" t="s">
        <v>2506</v>
      </c>
    </row>
    <row r="407" spans="1:16" x14ac:dyDescent="0.2">
      <c r="A407" t="s">
        <v>1424</v>
      </c>
      <c r="B407">
        <v>1717</v>
      </c>
      <c r="C407" t="s">
        <v>2059</v>
      </c>
      <c r="D407" t="s">
        <v>2066</v>
      </c>
      <c r="E407" t="s">
        <v>2079</v>
      </c>
      <c r="F407" t="s">
        <v>221</v>
      </c>
      <c r="I407">
        <v>93.8888888888889</v>
      </c>
      <c r="J407" t="s">
        <v>2113</v>
      </c>
      <c r="K407">
        <v>48</v>
      </c>
      <c r="L407">
        <v>0.96</v>
      </c>
      <c r="M407" t="s">
        <v>2052</v>
      </c>
      <c r="N407" t="s">
        <v>2714</v>
      </c>
      <c r="O407" t="s">
        <v>10</v>
      </c>
    </row>
    <row r="408" spans="1:16" x14ac:dyDescent="0.2">
      <c r="A408" t="s">
        <v>1330</v>
      </c>
      <c r="B408">
        <v>1576</v>
      </c>
      <c r="C408" t="s">
        <v>2059</v>
      </c>
      <c r="D408" t="s">
        <v>2066</v>
      </c>
      <c r="E408" t="s">
        <v>2080</v>
      </c>
      <c r="F408" t="s">
        <v>2081</v>
      </c>
      <c r="I408">
        <v>93.8888888888889</v>
      </c>
      <c r="J408" t="s">
        <v>2063</v>
      </c>
      <c r="K408">
        <v>50</v>
      </c>
      <c r="L408">
        <v>1</v>
      </c>
      <c r="M408" t="s">
        <v>2052</v>
      </c>
      <c r="N408" t="s">
        <v>2714</v>
      </c>
      <c r="O408" t="s">
        <v>2040</v>
      </c>
    </row>
    <row r="409" spans="1:16" hidden="1" x14ac:dyDescent="0.2">
      <c r="A409" t="s">
        <v>312</v>
      </c>
      <c r="B409">
        <v>224</v>
      </c>
      <c r="C409" t="s">
        <v>2059</v>
      </c>
      <c r="D409" t="s">
        <v>2066</v>
      </c>
      <c r="E409" t="s">
        <v>2079</v>
      </c>
      <c r="F409" t="s">
        <v>315</v>
      </c>
      <c r="G409" t="s">
        <v>316</v>
      </c>
      <c r="H409" t="s">
        <v>317</v>
      </c>
      <c r="I409">
        <v>97.237569060773495</v>
      </c>
      <c r="J409" t="s">
        <v>2063</v>
      </c>
      <c r="K409">
        <v>16</v>
      </c>
      <c r="L409">
        <v>1</v>
      </c>
      <c r="M409" t="s">
        <v>8</v>
      </c>
      <c r="N409" t="s">
        <v>2037</v>
      </c>
      <c r="O409" t="s">
        <v>10</v>
      </c>
      <c r="P409" t="s">
        <v>2175</v>
      </c>
    </row>
    <row r="410" spans="1:16" x14ac:dyDescent="0.2">
      <c r="A410" t="s">
        <v>1462</v>
      </c>
      <c r="B410">
        <v>1803</v>
      </c>
      <c r="C410" t="s">
        <v>2059</v>
      </c>
      <c r="D410" t="s">
        <v>2066</v>
      </c>
      <c r="E410" t="s">
        <v>2090</v>
      </c>
      <c r="F410" t="s">
        <v>46</v>
      </c>
      <c r="I410">
        <v>93.8888888888889</v>
      </c>
      <c r="J410" t="s">
        <v>2063</v>
      </c>
      <c r="K410">
        <v>22</v>
      </c>
      <c r="L410">
        <v>0.44</v>
      </c>
      <c r="M410" t="s">
        <v>2052</v>
      </c>
      <c r="N410" t="s">
        <v>2714</v>
      </c>
      <c r="O410" t="s">
        <v>10</v>
      </c>
    </row>
    <row r="411" spans="1:16" x14ac:dyDescent="0.2">
      <c r="A411" t="s">
        <v>637</v>
      </c>
      <c r="B411">
        <v>641</v>
      </c>
      <c r="C411" t="s">
        <v>2059</v>
      </c>
      <c r="D411" t="s">
        <v>2066</v>
      </c>
      <c r="E411" t="s">
        <v>2079</v>
      </c>
      <c r="F411" t="s">
        <v>159</v>
      </c>
      <c r="I411">
        <v>93.922651933701701</v>
      </c>
      <c r="J411" t="s">
        <v>2063</v>
      </c>
      <c r="K411">
        <v>48</v>
      </c>
      <c r="L411">
        <v>1</v>
      </c>
      <c r="M411" t="s">
        <v>2052</v>
      </c>
      <c r="N411" t="s">
        <v>2714</v>
      </c>
      <c r="O411" t="s">
        <v>10</v>
      </c>
    </row>
    <row r="412" spans="1:16" x14ac:dyDescent="0.2">
      <c r="A412" t="s">
        <v>1682</v>
      </c>
      <c r="B412">
        <v>2073</v>
      </c>
      <c r="C412" t="s">
        <v>2059</v>
      </c>
      <c r="D412" t="s">
        <v>2066</v>
      </c>
      <c r="E412" t="s">
        <v>2079</v>
      </c>
      <c r="F412" t="s">
        <v>734</v>
      </c>
      <c r="I412">
        <v>93.922651933701701</v>
      </c>
      <c r="J412" t="s">
        <v>2063</v>
      </c>
      <c r="K412">
        <v>45</v>
      </c>
      <c r="L412">
        <v>0.9</v>
      </c>
      <c r="M412" t="s">
        <v>2052</v>
      </c>
      <c r="N412" t="s">
        <v>2714</v>
      </c>
      <c r="O412" t="s">
        <v>10</v>
      </c>
    </row>
    <row r="413" spans="1:16" x14ac:dyDescent="0.2">
      <c r="A413" t="s">
        <v>1714</v>
      </c>
      <c r="B413">
        <v>2116</v>
      </c>
      <c r="C413" t="s">
        <v>2059</v>
      </c>
      <c r="D413" t="s">
        <v>2066</v>
      </c>
      <c r="E413" t="s">
        <v>2067</v>
      </c>
      <c r="F413" t="s">
        <v>2214</v>
      </c>
      <c r="I413">
        <v>93.922651933701701</v>
      </c>
      <c r="J413" t="s">
        <v>2063</v>
      </c>
      <c r="K413">
        <v>3</v>
      </c>
      <c r="L413">
        <v>1</v>
      </c>
      <c r="M413" t="s">
        <v>2052</v>
      </c>
      <c r="N413" t="s">
        <v>2714</v>
      </c>
      <c r="O413" t="s">
        <v>10</v>
      </c>
    </row>
    <row r="414" spans="1:16" x14ac:dyDescent="0.2">
      <c r="A414" t="s">
        <v>151</v>
      </c>
      <c r="B414">
        <v>82</v>
      </c>
      <c r="C414" t="s">
        <v>2059</v>
      </c>
      <c r="D414" t="s">
        <v>2066</v>
      </c>
      <c r="E414" t="s">
        <v>2082</v>
      </c>
      <c r="F414" t="s">
        <v>241</v>
      </c>
      <c r="I414">
        <v>93.922651933701701</v>
      </c>
      <c r="J414" t="s">
        <v>2063</v>
      </c>
      <c r="K414">
        <v>13</v>
      </c>
      <c r="L414">
        <v>0.25490196078431399</v>
      </c>
      <c r="M414" t="s">
        <v>2052</v>
      </c>
      <c r="N414" t="s">
        <v>2037</v>
      </c>
      <c r="O414" t="s">
        <v>10</v>
      </c>
    </row>
    <row r="415" spans="1:16" x14ac:dyDescent="0.2">
      <c r="A415" t="s">
        <v>1566</v>
      </c>
      <c r="B415">
        <v>1918</v>
      </c>
      <c r="C415" t="s">
        <v>2059</v>
      </c>
      <c r="D415" t="s">
        <v>2066</v>
      </c>
      <c r="E415" t="s">
        <v>2090</v>
      </c>
      <c r="F415" t="s">
        <v>46</v>
      </c>
      <c r="I415">
        <v>93.922651933701701</v>
      </c>
      <c r="J415" t="s">
        <v>2063</v>
      </c>
      <c r="K415">
        <v>29</v>
      </c>
      <c r="L415">
        <v>0.57999999999999996</v>
      </c>
      <c r="M415" t="s">
        <v>2052</v>
      </c>
      <c r="N415" t="s">
        <v>2714</v>
      </c>
      <c r="O415" t="s">
        <v>10</v>
      </c>
    </row>
    <row r="416" spans="1:16" x14ac:dyDescent="0.2">
      <c r="A416" t="s">
        <v>2579</v>
      </c>
      <c r="B416">
        <v>1937</v>
      </c>
      <c r="C416" t="s">
        <v>2059</v>
      </c>
      <c r="D416" t="s">
        <v>2066</v>
      </c>
      <c r="E416" t="s">
        <v>2067</v>
      </c>
      <c r="I416">
        <v>94.117647058823493</v>
      </c>
      <c r="J416" t="s">
        <v>2113</v>
      </c>
      <c r="K416">
        <v>2</v>
      </c>
      <c r="L416">
        <v>1</v>
      </c>
      <c r="M416" t="s">
        <v>2051</v>
      </c>
      <c r="N416" t="s">
        <v>2714</v>
      </c>
      <c r="O416" t="s">
        <v>10</v>
      </c>
    </row>
    <row r="417" spans="1:16" x14ac:dyDescent="0.2">
      <c r="A417" t="s">
        <v>1738</v>
      </c>
      <c r="B417">
        <v>2164</v>
      </c>
      <c r="C417" t="s">
        <v>2059</v>
      </c>
      <c r="D417" t="s">
        <v>2066</v>
      </c>
      <c r="E417" t="s">
        <v>2067</v>
      </c>
      <c r="I417">
        <v>94.117647058823493</v>
      </c>
      <c r="J417" t="s">
        <v>2113</v>
      </c>
      <c r="K417">
        <v>2</v>
      </c>
      <c r="L417">
        <v>1</v>
      </c>
      <c r="M417" t="s">
        <v>2051</v>
      </c>
      <c r="N417" t="s">
        <v>2714</v>
      </c>
      <c r="O417" t="s">
        <v>10</v>
      </c>
    </row>
    <row r="418" spans="1:16" x14ac:dyDescent="0.2">
      <c r="A418" t="s">
        <v>1450</v>
      </c>
      <c r="B418">
        <v>1772</v>
      </c>
      <c r="C418" t="s">
        <v>2059</v>
      </c>
      <c r="D418" t="s">
        <v>2066</v>
      </c>
      <c r="E418" t="s">
        <v>2067</v>
      </c>
      <c r="F418" t="s">
        <v>2072</v>
      </c>
      <c r="I418">
        <v>94.202898550724598</v>
      </c>
      <c r="J418" t="s">
        <v>2063</v>
      </c>
      <c r="K418">
        <v>56</v>
      </c>
      <c r="L418">
        <v>1</v>
      </c>
      <c r="M418" t="s">
        <v>2052</v>
      </c>
      <c r="N418" t="s">
        <v>2714</v>
      </c>
      <c r="O418" t="s">
        <v>10</v>
      </c>
    </row>
    <row r="419" spans="1:16" x14ac:dyDescent="0.2">
      <c r="A419" t="s">
        <v>1991</v>
      </c>
      <c r="B419">
        <v>2520</v>
      </c>
      <c r="C419" t="s">
        <v>2059</v>
      </c>
      <c r="D419" t="s">
        <v>2066</v>
      </c>
      <c r="E419" t="s">
        <v>2080</v>
      </c>
      <c r="F419" t="s">
        <v>1104</v>
      </c>
      <c r="I419">
        <v>94.252873563218401</v>
      </c>
      <c r="J419" t="s">
        <v>2063</v>
      </c>
      <c r="K419">
        <v>51</v>
      </c>
      <c r="L419">
        <v>1</v>
      </c>
      <c r="M419" t="s">
        <v>2052</v>
      </c>
      <c r="N419" t="s">
        <v>2714</v>
      </c>
      <c r="O419" t="s">
        <v>2040</v>
      </c>
    </row>
    <row r="420" spans="1:16" hidden="1" x14ac:dyDescent="0.2">
      <c r="A420" t="s">
        <v>55</v>
      </c>
      <c r="B420">
        <v>23</v>
      </c>
      <c r="C420" t="s">
        <v>2059</v>
      </c>
      <c r="D420" t="s">
        <v>2066</v>
      </c>
      <c r="E420" t="s">
        <v>2067</v>
      </c>
      <c r="F420" t="s">
        <v>2093</v>
      </c>
      <c r="G420" t="s">
        <v>57</v>
      </c>
      <c r="H420" t="s">
        <v>58</v>
      </c>
      <c r="I420">
        <v>100</v>
      </c>
      <c r="J420" t="s">
        <v>2063</v>
      </c>
      <c r="K420">
        <v>1</v>
      </c>
      <c r="L420">
        <v>1</v>
      </c>
      <c r="M420" t="s">
        <v>8</v>
      </c>
      <c r="N420" t="s">
        <v>2038</v>
      </c>
      <c r="O420" t="s">
        <v>10</v>
      </c>
      <c r="P420" t="s">
        <v>2094</v>
      </c>
    </row>
    <row r="421" spans="1:16" hidden="1" x14ac:dyDescent="0.2">
      <c r="A421" t="s">
        <v>77</v>
      </c>
      <c r="B421">
        <v>36</v>
      </c>
      <c r="C421" t="s">
        <v>2059</v>
      </c>
      <c r="D421" t="s">
        <v>2066</v>
      </c>
      <c r="E421" t="s">
        <v>2067</v>
      </c>
      <c r="F421" t="s">
        <v>2093</v>
      </c>
      <c r="G421" t="s">
        <v>57</v>
      </c>
      <c r="H421" t="s">
        <v>58</v>
      </c>
      <c r="I421">
        <v>98.198198198198199</v>
      </c>
      <c r="J421" t="s">
        <v>2063</v>
      </c>
      <c r="K421">
        <v>1</v>
      </c>
      <c r="L421">
        <v>1</v>
      </c>
      <c r="M421" t="s">
        <v>8</v>
      </c>
      <c r="N421" t="s">
        <v>2038</v>
      </c>
      <c r="O421" t="s">
        <v>10</v>
      </c>
      <c r="P421" t="s">
        <v>2094</v>
      </c>
    </row>
    <row r="422" spans="1:16" hidden="1" x14ac:dyDescent="0.2">
      <c r="A422" t="s">
        <v>83</v>
      </c>
      <c r="B422">
        <v>41</v>
      </c>
      <c r="C422" t="s">
        <v>2059</v>
      </c>
      <c r="D422" t="s">
        <v>2066</v>
      </c>
      <c r="E422" t="s">
        <v>2067</v>
      </c>
      <c r="F422" t="s">
        <v>2093</v>
      </c>
      <c r="G422" t="s">
        <v>57</v>
      </c>
      <c r="H422" t="s">
        <v>58</v>
      </c>
      <c r="I422">
        <v>99.099099099099107</v>
      </c>
      <c r="J422" t="s">
        <v>2063</v>
      </c>
      <c r="K422">
        <v>1</v>
      </c>
      <c r="L422">
        <v>1</v>
      </c>
      <c r="M422" t="s">
        <v>8</v>
      </c>
      <c r="N422" t="s">
        <v>2038</v>
      </c>
      <c r="O422" t="s">
        <v>10</v>
      </c>
      <c r="P422" t="s">
        <v>2094</v>
      </c>
    </row>
    <row r="423" spans="1:16" hidden="1" x14ac:dyDescent="0.2">
      <c r="A423" t="s">
        <v>434</v>
      </c>
      <c r="B423">
        <v>366</v>
      </c>
      <c r="C423" t="s">
        <v>2059</v>
      </c>
      <c r="D423" t="s">
        <v>2066</v>
      </c>
      <c r="E423" t="s">
        <v>2067</v>
      </c>
      <c r="F423" t="s">
        <v>2093</v>
      </c>
      <c r="G423" t="s">
        <v>57</v>
      </c>
      <c r="H423" t="s">
        <v>58</v>
      </c>
      <c r="I423">
        <v>100</v>
      </c>
      <c r="J423" t="s">
        <v>2063</v>
      </c>
      <c r="K423">
        <v>1</v>
      </c>
      <c r="L423">
        <v>1</v>
      </c>
      <c r="M423" t="s">
        <v>8</v>
      </c>
      <c r="N423" t="s">
        <v>2038</v>
      </c>
      <c r="O423" t="s">
        <v>10</v>
      </c>
      <c r="P423" t="s">
        <v>2094</v>
      </c>
    </row>
    <row r="424" spans="1:16" x14ac:dyDescent="0.2">
      <c r="A424" t="s">
        <v>2261</v>
      </c>
      <c r="B424">
        <v>514</v>
      </c>
      <c r="C424" t="s">
        <v>2059</v>
      </c>
      <c r="D424" t="s">
        <v>2066</v>
      </c>
      <c r="E424" t="s">
        <v>2080</v>
      </c>
      <c r="F424" t="s">
        <v>2081</v>
      </c>
      <c r="I424">
        <v>94.303797468354404</v>
      </c>
      <c r="J424" t="s">
        <v>2063</v>
      </c>
      <c r="K424">
        <v>49</v>
      </c>
      <c r="L424">
        <v>1</v>
      </c>
      <c r="M424" t="s">
        <v>2052</v>
      </c>
      <c r="N424" t="s">
        <v>2714</v>
      </c>
      <c r="O424" t="s">
        <v>2040</v>
      </c>
    </row>
    <row r="425" spans="1:16" hidden="1" x14ac:dyDescent="0.2">
      <c r="A425" t="s">
        <v>640</v>
      </c>
      <c r="B425">
        <v>642</v>
      </c>
      <c r="C425" t="s">
        <v>2059</v>
      </c>
      <c r="D425" t="s">
        <v>2066</v>
      </c>
      <c r="E425" t="s">
        <v>2067</v>
      </c>
      <c r="F425" t="s">
        <v>2198</v>
      </c>
      <c r="G425" t="s">
        <v>372</v>
      </c>
      <c r="H425" t="s">
        <v>641</v>
      </c>
      <c r="I425">
        <v>99.447513812154696</v>
      </c>
      <c r="J425" t="s">
        <v>2063</v>
      </c>
      <c r="K425">
        <v>28</v>
      </c>
      <c r="L425">
        <v>1</v>
      </c>
      <c r="M425" t="s">
        <v>8</v>
      </c>
      <c r="N425" t="s">
        <v>2038</v>
      </c>
      <c r="O425" t="s">
        <v>10</v>
      </c>
      <c r="P425" t="s">
        <v>2302</v>
      </c>
    </row>
    <row r="426" spans="1:16" hidden="1" x14ac:dyDescent="0.2">
      <c r="A426" t="s">
        <v>1497</v>
      </c>
      <c r="B426">
        <v>1840</v>
      </c>
      <c r="C426" t="s">
        <v>2059</v>
      </c>
      <c r="D426" t="s">
        <v>2066</v>
      </c>
      <c r="E426" t="s">
        <v>2067</v>
      </c>
      <c r="F426" t="s">
        <v>2198</v>
      </c>
      <c r="G426" t="s">
        <v>372</v>
      </c>
      <c r="H426" t="s">
        <v>641</v>
      </c>
      <c r="I426">
        <v>98.895027624309407</v>
      </c>
      <c r="J426" t="s">
        <v>2063</v>
      </c>
      <c r="K426">
        <v>28</v>
      </c>
      <c r="L426">
        <v>1</v>
      </c>
      <c r="M426" t="s">
        <v>8</v>
      </c>
      <c r="N426" t="s">
        <v>2038</v>
      </c>
      <c r="O426" t="s">
        <v>10</v>
      </c>
      <c r="P426" t="s">
        <v>2302</v>
      </c>
    </row>
    <row r="427" spans="1:16" hidden="1" x14ac:dyDescent="0.2">
      <c r="A427" t="s">
        <v>660</v>
      </c>
      <c r="B427">
        <v>666</v>
      </c>
      <c r="C427" t="s">
        <v>2059</v>
      </c>
      <c r="D427" t="s">
        <v>2066</v>
      </c>
      <c r="E427" t="s">
        <v>2067</v>
      </c>
      <c r="F427" t="s">
        <v>2198</v>
      </c>
      <c r="G427" t="s">
        <v>372</v>
      </c>
      <c r="H427" t="s">
        <v>661</v>
      </c>
      <c r="I427">
        <v>100</v>
      </c>
      <c r="J427" t="s">
        <v>2113</v>
      </c>
      <c r="K427">
        <v>28</v>
      </c>
      <c r="L427">
        <v>0.875</v>
      </c>
      <c r="M427" t="s">
        <v>8</v>
      </c>
      <c r="N427" t="s">
        <v>2038</v>
      </c>
      <c r="O427" t="s">
        <v>10</v>
      </c>
      <c r="P427" t="s">
        <v>2308</v>
      </c>
    </row>
    <row r="428" spans="1:16" hidden="1" x14ac:dyDescent="0.2">
      <c r="A428" t="s">
        <v>1049</v>
      </c>
      <c r="B428">
        <v>1242</v>
      </c>
      <c r="C428" t="s">
        <v>2059</v>
      </c>
      <c r="D428" t="s">
        <v>2066</v>
      </c>
      <c r="E428" t="s">
        <v>2067</v>
      </c>
      <c r="F428" t="s">
        <v>2198</v>
      </c>
      <c r="G428" t="s">
        <v>372</v>
      </c>
      <c r="H428" t="s">
        <v>1050</v>
      </c>
      <c r="I428">
        <v>100</v>
      </c>
      <c r="J428" t="s">
        <v>2113</v>
      </c>
      <c r="K428">
        <v>46</v>
      </c>
      <c r="L428">
        <v>1</v>
      </c>
      <c r="M428" t="s">
        <v>8</v>
      </c>
      <c r="N428" t="s">
        <v>2038</v>
      </c>
      <c r="O428" t="s">
        <v>10</v>
      </c>
      <c r="P428" t="s">
        <v>2438</v>
      </c>
    </row>
    <row r="429" spans="1:16" hidden="1" x14ac:dyDescent="0.2">
      <c r="A429" t="s">
        <v>371</v>
      </c>
      <c r="B429">
        <v>291</v>
      </c>
      <c r="C429" t="s">
        <v>2059</v>
      </c>
      <c r="D429" t="s">
        <v>2066</v>
      </c>
      <c r="E429" t="s">
        <v>2067</v>
      </c>
      <c r="F429" t="s">
        <v>2198</v>
      </c>
      <c r="G429" t="s">
        <v>372</v>
      </c>
      <c r="H429" t="s">
        <v>373</v>
      </c>
      <c r="I429">
        <v>100</v>
      </c>
      <c r="J429" t="s">
        <v>2063</v>
      </c>
      <c r="K429">
        <v>38</v>
      </c>
      <c r="L429">
        <v>0.97435897435897401</v>
      </c>
      <c r="M429" t="s">
        <v>8</v>
      </c>
      <c r="N429" t="s">
        <v>2038</v>
      </c>
      <c r="O429" t="s">
        <v>10</v>
      </c>
      <c r="P429" t="s">
        <v>2199</v>
      </c>
    </row>
    <row r="430" spans="1:16" hidden="1" x14ac:dyDescent="0.2">
      <c r="A430" t="s">
        <v>1910</v>
      </c>
      <c r="B430">
        <v>2348</v>
      </c>
      <c r="C430" t="s">
        <v>2059</v>
      </c>
      <c r="D430" t="s">
        <v>2066</v>
      </c>
      <c r="E430" t="s">
        <v>2067</v>
      </c>
      <c r="F430" t="s">
        <v>2198</v>
      </c>
      <c r="G430" t="s">
        <v>1911</v>
      </c>
      <c r="H430" t="s">
        <v>1912</v>
      </c>
      <c r="I430">
        <v>97.237569060773495</v>
      </c>
      <c r="J430" t="s">
        <v>2063</v>
      </c>
      <c r="K430">
        <v>26</v>
      </c>
      <c r="L430">
        <v>1</v>
      </c>
      <c r="M430" t="s">
        <v>8</v>
      </c>
      <c r="N430" t="s">
        <v>2038</v>
      </c>
      <c r="O430" t="s">
        <v>10</v>
      </c>
      <c r="P430" t="s">
        <v>2676</v>
      </c>
    </row>
    <row r="431" spans="1:16" hidden="1" x14ac:dyDescent="0.2">
      <c r="A431" t="s">
        <v>554</v>
      </c>
      <c r="B431">
        <v>544</v>
      </c>
      <c r="C431" t="s">
        <v>2059</v>
      </c>
      <c r="D431" t="s">
        <v>2066</v>
      </c>
      <c r="E431" t="s">
        <v>2067</v>
      </c>
      <c r="F431" t="s">
        <v>2198</v>
      </c>
      <c r="G431" t="s">
        <v>555</v>
      </c>
      <c r="H431" t="s">
        <v>556</v>
      </c>
      <c r="I431">
        <v>100</v>
      </c>
      <c r="J431" t="s">
        <v>2063</v>
      </c>
      <c r="K431">
        <v>8</v>
      </c>
      <c r="L431">
        <v>1</v>
      </c>
      <c r="M431" t="s">
        <v>8</v>
      </c>
      <c r="N431" t="s">
        <v>2038</v>
      </c>
      <c r="O431" t="s">
        <v>10</v>
      </c>
      <c r="P431" t="s">
        <v>2274</v>
      </c>
    </row>
    <row r="432" spans="1:16" hidden="1" x14ac:dyDescent="0.2">
      <c r="A432" t="s">
        <v>606</v>
      </c>
      <c r="B432">
        <v>612</v>
      </c>
      <c r="C432" t="s">
        <v>2059</v>
      </c>
      <c r="D432" t="s">
        <v>2066</v>
      </c>
      <c r="E432" t="s">
        <v>2067</v>
      </c>
      <c r="F432" t="s">
        <v>2292</v>
      </c>
      <c r="G432" t="s">
        <v>608</v>
      </c>
      <c r="H432" t="s">
        <v>609</v>
      </c>
      <c r="I432">
        <v>100</v>
      </c>
      <c r="J432" t="s">
        <v>2063</v>
      </c>
      <c r="K432">
        <v>3</v>
      </c>
      <c r="L432">
        <v>1</v>
      </c>
      <c r="M432" t="s">
        <v>8</v>
      </c>
      <c r="N432" t="s">
        <v>2038</v>
      </c>
      <c r="O432" t="s">
        <v>10</v>
      </c>
      <c r="P432" t="s">
        <v>2293</v>
      </c>
    </row>
    <row r="433" spans="1:16" hidden="1" x14ac:dyDescent="0.2">
      <c r="A433" t="s">
        <v>191</v>
      </c>
      <c r="B433">
        <v>134</v>
      </c>
      <c r="C433" t="s">
        <v>2059</v>
      </c>
      <c r="D433" t="s">
        <v>2066</v>
      </c>
      <c r="E433" t="s">
        <v>2067</v>
      </c>
      <c r="F433" t="s">
        <v>2145</v>
      </c>
      <c r="G433" t="s">
        <v>2146</v>
      </c>
      <c r="H433" t="s">
        <v>2147</v>
      </c>
      <c r="I433">
        <v>97.752808988764002</v>
      </c>
      <c r="J433" t="s">
        <v>2063</v>
      </c>
      <c r="K433">
        <v>2</v>
      </c>
      <c r="L433">
        <v>0.66666666666666696</v>
      </c>
      <c r="M433" t="s">
        <v>8</v>
      </c>
      <c r="N433" t="s">
        <v>2038</v>
      </c>
      <c r="O433" t="s">
        <v>10</v>
      </c>
      <c r="P433" t="s">
        <v>2148</v>
      </c>
    </row>
    <row r="434" spans="1:16" hidden="1" x14ac:dyDescent="0.2">
      <c r="A434" t="s">
        <v>587</v>
      </c>
      <c r="B434">
        <v>598</v>
      </c>
      <c r="C434" t="s">
        <v>2059</v>
      </c>
      <c r="D434" t="s">
        <v>2066</v>
      </c>
      <c r="E434" t="s">
        <v>2067</v>
      </c>
      <c r="F434" t="s">
        <v>2145</v>
      </c>
      <c r="G434" t="s">
        <v>2146</v>
      </c>
      <c r="H434" t="s">
        <v>2147</v>
      </c>
      <c r="I434">
        <v>97.191011235955102</v>
      </c>
      <c r="J434" t="s">
        <v>2063</v>
      </c>
      <c r="K434">
        <v>2</v>
      </c>
      <c r="L434">
        <v>0.66666666666666696</v>
      </c>
      <c r="M434" t="s">
        <v>8</v>
      </c>
      <c r="N434" t="s">
        <v>2038</v>
      </c>
      <c r="O434" t="s">
        <v>10</v>
      </c>
      <c r="P434" t="s">
        <v>2148</v>
      </c>
    </row>
    <row r="435" spans="1:16" x14ac:dyDescent="0.2">
      <c r="A435" t="s">
        <v>2527</v>
      </c>
      <c r="B435">
        <v>1620</v>
      </c>
      <c r="C435" t="s">
        <v>2059</v>
      </c>
      <c r="D435" t="s">
        <v>2069</v>
      </c>
      <c r="E435" t="s">
        <v>2070</v>
      </c>
      <c r="F435" t="s">
        <v>2332</v>
      </c>
      <c r="I435">
        <v>94.318181818181799</v>
      </c>
      <c r="J435" t="s">
        <v>2063</v>
      </c>
      <c r="K435">
        <v>27</v>
      </c>
      <c r="L435">
        <v>1</v>
      </c>
      <c r="M435" t="s">
        <v>2052</v>
      </c>
      <c r="N435" t="s">
        <v>2714</v>
      </c>
      <c r="O435" t="s">
        <v>10</v>
      </c>
    </row>
    <row r="436" spans="1:16" x14ac:dyDescent="0.2">
      <c r="A436" t="s">
        <v>1196</v>
      </c>
      <c r="B436">
        <v>1433</v>
      </c>
      <c r="C436" t="s">
        <v>2059</v>
      </c>
      <c r="D436" t="s">
        <v>2066</v>
      </c>
      <c r="E436" t="s">
        <v>2080</v>
      </c>
      <c r="F436" t="s">
        <v>2081</v>
      </c>
      <c r="I436">
        <v>94.318181818181799</v>
      </c>
      <c r="J436" t="s">
        <v>2063</v>
      </c>
      <c r="K436">
        <v>50</v>
      </c>
      <c r="L436">
        <v>1</v>
      </c>
      <c r="M436" t="s">
        <v>2052</v>
      </c>
      <c r="N436" t="s">
        <v>2714</v>
      </c>
      <c r="O436" t="s">
        <v>2040</v>
      </c>
    </row>
    <row r="437" spans="1:16" x14ac:dyDescent="0.2">
      <c r="A437" t="s">
        <v>876</v>
      </c>
      <c r="B437">
        <v>949</v>
      </c>
      <c r="C437" t="s">
        <v>2059</v>
      </c>
      <c r="D437" t="s">
        <v>2066</v>
      </c>
      <c r="E437" t="s">
        <v>2079</v>
      </c>
      <c r="F437" t="s">
        <v>886</v>
      </c>
      <c r="I437">
        <v>94.350282485875695</v>
      </c>
      <c r="J437" t="s">
        <v>2063</v>
      </c>
      <c r="K437">
        <v>29</v>
      </c>
      <c r="L437">
        <v>0.57999999999999996</v>
      </c>
      <c r="M437" t="s">
        <v>2052</v>
      </c>
      <c r="N437" t="s">
        <v>2714</v>
      </c>
      <c r="O437" t="s">
        <v>10</v>
      </c>
    </row>
    <row r="438" spans="1:16" x14ac:dyDescent="0.2">
      <c r="A438" t="s">
        <v>610</v>
      </c>
      <c r="B438">
        <v>614</v>
      </c>
      <c r="C438" t="s">
        <v>2059</v>
      </c>
      <c r="D438" t="s">
        <v>2066</v>
      </c>
      <c r="E438" t="s">
        <v>2090</v>
      </c>
      <c r="F438" t="s">
        <v>46</v>
      </c>
      <c r="I438">
        <v>94.350282485875695</v>
      </c>
      <c r="J438" t="s">
        <v>2063</v>
      </c>
      <c r="K438">
        <v>36</v>
      </c>
      <c r="L438">
        <v>0.73469387755102</v>
      </c>
      <c r="M438" t="s">
        <v>2052</v>
      </c>
      <c r="N438" t="s">
        <v>2714</v>
      </c>
      <c r="O438" t="s">
        <v>10</v>
      </c>
    </row>
    <row r="439" spans="1:16" x14ac:dyDescent="0.2">
      <c r="A439" t="s">
        <v>1088</v>
      </c>
      <c r="B439">
        <v>1284</v>
      </c>
      <c r="C439" t="s">
        <v>2059</v>
      </c>
      <c r="D439" t="s">
        <v>2066</v>
      </c>
      <c r="E439" t="s">
        <v>2090</v>
      </c>
      <c r="F439" t="s">
        <v>46</v>
      </c>
      <c r="I439">
        <v>94.350282485875695</v>
      </c>
      <c r="J439" t="s">
        <v>2063</v>
      </c>
      <c r="K439">
        <v>46</v>
      </c>
      <c r="L439">
        <v>0.93877551020408201</v>
      </c>
      <c r="M439" t="s">
        <v>2052</v>
      </c>
      <c r="N439" t="s">
        <v>2714</v>
      </c>
      <c r="O439" t="s">
        <v>10</v>
      </c>
    </row>
    <row r="440" spans="1:16" x14ac:dyDescent="0.2">
      <c r="A440" t="s">
        <v>825</v>
      </c>
      <c r="B440">
        <v>884</v>
      </c>
      <c r="C440" t="s">
        <v>2059</v>
      </c>
      <c r="D440" t="s">
        <v>2069</v>
      </c>
      <c r="E440" t="s">
        <v>2070</v>
      </c>
      <c r="F440" t="s">
        <v>64</v>
      </c>
      <c r="I440">
        <v>94.366197183098606</v>
      </c>
      <c r="J440" t="s">
        <v>2063</v>
      </c>
      <c r="K440">
        <v>16</v>
      </c>
      <c r="L440">
        <v>1</v>
      </c>
      <c r="M440" t="s">
        <v>2052</v>
      </c>
      <c r="N440" t="s">
        <v>2714</v>
      </c>
      <c r="O440" t="s">
        <v>10</v>
      </c>
    </row>
    <row r="441" spans="1:16" x14ac:dyDescent="0.2">
      <c r="A441" t="s">
        <v>1622</v>
      </c>
      <c r="B441">
        <v>1986</v>
      </c>
      <c r="C441" t="s">
        <v>2059</v>
      </c>
      <c r="D441" t="s">
        <v>2066</v>
      </c>
      <c r="E441" t="s">
        <v>2090</v>
      </c>
      <c r="F441" t="s">
        <v>46</v>
      </c>
      <c r="I441">
        <v>94.413407821229001</v>
      </c>
      <c r="J441" t="s">
        <v>2113</v>
      </c>
      <c r="K441">
        <v>50</v>
      </c>
      <c r="L441">
        <v>1</v>
      </c>
      <c r="M441" t="s">
        <v>2052</v>
      </c>
      <c r="N441" t="s">
        <v>2714</v>
      </c>
      <c r="O441" t="s">
        <v>10</v>
      </c>
    </row>
    <row r="442" spans="1:16" x14ac:dyDescent="0.2">
      <c r="A442" t="s">
        <v>460</v>
      </c>
      <c r="B442">
        <v>411</v>
      </c>
      <c r="C442" t="s">
        <v>2059</v>
      </c>
      <c r="D442" t="s">
        <v>2066</v>
      </c>
      <c r="E442" t="s">
        <v>2079</v>
      </c>
      <c r="F442" t="s">
        <v>79</v>
      </c>
      <c r="I442">
        <v>94.4444444444444</v>
      </c>
      <c r="J442" t="s">
        <v>2063</v>
      </c>
      <c r="K442">
        <v>49</v>
      </c>
      <c r="L442">
        <v>1</v>
      </c>
      <c r="M442" t="s">
        <v>2052</v>
      </c>
      <c r="N442" t="s">
        <v>2714</v>
      </c>
      <c r="O442" t="s">
        <v>10</v>
      </c>
    </row>
    <row r="443" spans="1:16" x14ac:dyDescent="0.2">
      <c r="A443" t="s">
        <v>1498</v>
      </c>
      <c r="B443">
        <v>1842</v>
      </c>
      <c r="C443" t="s">
        <v>2059</v>
      </c>
      <c r="D443" t="s">
        <v>2066</v>
      </c>
      <c r="E443" t="s">
        <v>2079</v>
      </c>
      <c r="F443" t="s">
        <v>79</v>
      </c>
      <c r="I443">
        <v>94.4444444444444</v>
      </c>
      <c r="J443" t="s">
        <v>2113</v>
      </c>
      <c r="K443">
        <v>44</v>
      </c>
      <c r="L443">
        <v>0.88</v>
      </c>
      <c r="M443" t="s">
        <v>2052</v>
      </c>
      <c r="N443" t="s">
        <v>2714</v>
      </c>
      <c r="O443" t="s">
        <v>10</v>
      </c>
    </row>
    <row r="444" spans="1:16" x14ac:dyDescent="0.2">
      <c r="A444" t="s">
        <v>1116</v>
      </c>
      <c r="B444">
        <v>1319</v>
      </c>
      <c r="C444" t="s">
        <v>2059</v>
      </c>
      <c r="D444" t="s">
        <v>2066</v>
      </c>
      <c r="E444" t="s">
        <v>2079</v>
      </c>
      <c r="F444" t="s">
        <v>177</v>
      </c>
      <c r="I444">
        <v>94.4444444444444</v>
      </c>
      <c r="J444" t="s">
        <v>2113</v>
      </c>
      <c r="K444">
        <v>48</v>
      </c>
      <c r="L444">
        <v>0.96</v>
      </c>
      <c r="M444" t="s">
        <v>2052</v>
      </c>
      <c r="N444" t="s">
        <v>2714</v>
      </c>
      <c r="O444" t="s">
        <v>10</v>
      </c>
    </row>
    <row r="445" spans="1:16" x14ac:dyDescent="0.2">
      <c r="A445" t="s">
        <v>1383</v>
      </c>
      <c r="B445">
        <v>1640</v>
      </c>
      <c r="C445" t="s">
        <v>2059</v>
      </c>
      <c r="D445" t="s">
        <v>2066</v>
      </c>
      <c r="E445" t="s">
        <v>2080</v>
      </c>
      <c r="F445" t="s">
        <v>2448</v>
      </c>
      <c r="I445">
        <v>94.4444444444444</v>
      </c>
      <c r="J445" t="s">
        <v>2063</v>
      </c>
      <c r="K445">
        <v>48</v>
      </c>
      <c r="L445">
        <v>1</v>
      </c>
      <c r="M445" t="s">
        <v>2052</v>
      </c>
      <c r="N445" t="s">
        <v>2714</v>
      </c>
      <c r="O445" t="s">
        <v>2040</v>
      </c>
    </row>
    <row r="446" spans="1:16" x14ac:dyDescent="0.2">
      <c r="A446" t="s">
        <v>370</v>
      </c>
      <c r="B446">
        <v>277</v>
      </c>
      <c r="C446" t="s">
        <v>2059</v>
      </c>
      <c r="D446" t="s">
        <v>2066</v>
      </c>
      <c r="E446" t="s">
        <v>2082</v>
      </c>
      <c r="F446" t="s">
        <v>241</v>
      </c>
      <c r="I446">
        <v>94.4444444444444</v>
      </c>
      <c r="J446" t="s">
        <v>2063</v>
      </c>
      <c r="K446">
        <v>14</v>
      </c>
      <c r="L446">
        <v>0.28000000000000003</v>
      </c>
      <c r="M446" t="s">
        <v>2052</v>
      </c>
      <c r="N446" t="s">
        <v>2037</v>
      </c>
      <c r="O446" t="s">
        <v>10</v>
      </c>
    </row>
    <row r="447" spans="1:16" x14ac:dyDescent="0.2">
      <c r="A447" t="s">
        <v>1321</v>
      </c>
      <c r="B447">
        <v>1566</v>
      </c>
      <c r="C447" t="s">
        <v>2059</v>
      </c>
      <c r="D447" t="s">
        <v>2066</v>
      </c>
      <c r="E447" t="s">
        <v>2079</v>
      </c>
      <c r="F447" t="s">
        <v>79</v>
      </c>
      <c r="I447">
        <v>94.475138121547005</v>
      </c>
      <c r="J447" t="s">
        <v>2063</v>
      </c>
      <c r="K447">
        <v>49</v>
      </c>
      <c r="L447">
        <v>0.98</v>
      </c>
      <c r="M447" t="s">
        <v>2052</v>
      </c>
      <c r="N447" t="s">
        <v>2714</v>
      </c>
      <c r="O447" t="s">
        <v>10</v>
      </c>
    </row>
    <row r="448" spans="1:16" x14ac:dyDescent="0.2">
      <c r="A448" t="s">
        <v>1695</v>
      </c>
      <c r="B448">
        <v>2102</v>
      </c>
      <c r="C448" t="s">
        <v>2059</v>
      </c>
      <c r="D448" t="s">
        <v>2066</v>
      </c>
      <c r="E448" t="s">
        <v>2079</v>
      </c>
      <c r="F448" t="s">
        <v>1300</v>
      </c>
      <c r="I448">
        <v>94.475138121547005</v>
      </c>
      <c r="J448" t="s">
        <v>2113</v>
      </c>
      <c r="K448">
        <v>34</v>
      </c>
      <c r="L448">
        <v>0.68</v>
      </c>
      <c r="M448" t="s">
        <v>2052</v>
      </c>
      <c r="N448" t="s">
        <v>2714</v>
      </c>
      <c r="O448" t="s">
        <v>10</v>
      </c>
    </row>
    <row r="449" spans="1:15" x14ac:dyDescent="0.2">
      <c r="A449" t="s">
        <v>1939</v>
      </c>
      <c r="B449">
        <v>2399</v>
      </c>
      <c r="C449" t="s">
        <v>2059</v>
      </c>
      <c r="D449" t="s">
        <v>2066</v>
      </c>
      <c r="E449" t="s">
        <v>2067</v>
      </c>
      <c r="F449" t="s">
        <v>2214</v>
      </c>
      <c r="I449">
        <v>94.475138121547005</v>
      </c>
      <c r="J449" t="s">
        <v>2063</v>
      </c>
      <c r="K449">
        <v>4</v>
      </c>
      <c r="L449">
        <v>1</v>
      </c>
      <c r="M449" t="s">
        <v>2052</v>
      </c>
      <c r="N449" t="s">
        <v>2714</v>
      </c>
      <c r="O449" t="s">
        <v>10</v>
      </c>
    </row>
    <row r="450" spans="1:15" x14ac:dyDescent="0.2">
      <c r="A450" t="s">
        <v>259</v>
      </c>
      <c r="B450">
        <v>179</v>
      </c>
      <c r="C450" t="s">
        <v>2059</v>
      </c>
      <c r="D450" t="s">
        <v>2066</v>
      </c>
      <c r="E450" t="s">
        <v>2082</v>
      </c>
      <c r="F450" t="s">
        <v>241</v>
      </c>
      <c r="I450">
        <v>94.475138121547005</v>
      </c>
      <c r="J450" t="s">
        <v>2063</v>
      </c>
      <c r="K450">
        <v>20</v>
      </c>
      <c r="L450">
        <v>0.39215686274509798</v>
      </c>
      <c r="M450" t="s">
        <v>2052</v>
      </c>
      <c r="N450" t="s">
        <v>2037</v>
      </c>
      <c r="O450" t="s">
        <v>10</v>
      </c>
    </row>
    <row r="451" spans="1:15" x14ac:dyDescent="0.2">
      <c r="A451" t="s">
        <v>2278</v>
      </c>
      <c r="B451">
        <v>573</v>
      </c>
      <c r="C451" t="s">
        <v>2059</v>
      </c>
      <c r="D451" t="s">
        <v>2069</v>
      </c>
      <c r="I451">
        <v>94.505494505494497</v>
      </c>
      <c r="J451" t="s">
        <v>2063</v>
      </c>
      <c r="K451">
        <v>2</v>
      </c>
      <c r="L451">
        <v>1</v>
      </c>
      <c r="M451" t="s">
        <v>2050</v>
      </c>
      <c r="N451" t="s">
        <v>2714</v>
      </c>
      <c r="O451" t="s">
        <v>10</v>
      </c>
    </row>
    <row r="452" spans="1:15" x14ac:dyDescent="0.2">
      <c r="A452" t="s">
        <v>1602</v>
      </c>
      <c r="B452">
        <v>1973</v>
      </c>
      <c r="C452" t="s">
        <v>2059</v>
      </c>
      <c r="D452" t="s">
        <v>2066</v>
      </c>
      <c r="E452" t="s">
        <v>2080</v>
      </c>
      <c r="F452" t="s">
        <v>283</v>
      </c>
      <c r="I452">
        <v>94.520547945205493</v>
      </c>
      <c r="J452" t="s">
        <v>2063</v>
      </c>
      <c r="K452">
        <v>49</v>
      </c>
      <c r="L452">
        <v>1</v>
      </c>
      <c r="M452" t="s">
        <v>2052</v>
      </c>
      <c r="N452" t="s">
        <v>2714</v>
      </c>
      <c r="O452" t="s">
        <v>10</v>
      </c>
    </row>
    <row r="453" spans="1:15" x14ac:dyDescent="0.2">
      <c r="A453" t="s">
        <v>1743</v>
      </c>
      <c r="B453">
        <v>2167</v>
      </c>
      <c r="C453" t="s">
        <v>2059</v>
      </c>
      <c r="D453" t="s">
        <v>2066</v>
      </c>
      <c r="E453" t="s">
        <v>2079</v>
      </c>
      <c r="I453">
        <v>94.535519125683095</v>
      </c>
      <c r="J453" t="s">
        <v>2063</v>
      </c>
      <c r="K453">
        <v>1</v>
      </c>
      <c r="L453">
        <v>1</v>
      </c>
      <c r="M453" t="s">
        <v>2051</v>
      </c>
      <c r="N453" t="s">
        <v>2714</v>
      </c>
      <c r="O453" t="s">
        <v>10</v>
      </c>
    </row>
    <row r="454" spans="1:15" x14ac:dyDescent="0.2">
      <c r="A454" t="s">
        <v>1715</v>
      </c>
      <c r="B454">
        <v>2117</v>
      </c>
      <c r="C454" t="s">
        <v>2059</v>
      </c>
      <c r="D454" t="s">
        <v>2066</v>
      </c>
      <c r="E454" t="s">
        <v>2079</v>
      </c>
      <c r="F454" t="s">
        <v>111</v>
      </c>
      <c r="I454">
        <v>94.573643410852696</v>
      </c>
      <c r="J454" t="s">
        <v>2063</v>
      </c>
      <c r="K454">
        <v>39</v>
      </c>
      <c r="L454">
        <v>0.95121951219512202</v>
      </c>
      <c r="M454" t="s">
        <v>2052</v>
      </c>
      <c r="N454" t="s">
        <v>2714</v>
      </c>
      <c r="O454" t="s">
        <v>10</v>
      </c>
    </row>
    <row r="455" spans="1:15" x14ac:dyDescent="0.2">
      <c r="A455" t="s">
        <v>2307</v>
      </c>
      <c r="B455">
        <v>660</v>
      </c>
      <c r="C455" t="s">
        <v>2059</v>
      </c>
      <c r="I455">
        <v>94.594594594594597</v>
      </c>
      <c r="J455" t="s">
        <v>2063</v>
      </c>
      <c r="K455">
        <v>1</v>
      </c>
      <c r="L455">
        <v>1</v>
      </c>
      <c r="M455" t="s">
        <v>2049</v>
      </c>
      <c r="N455" t="s">
        <v>2714</v>
      </c>
      <c r="O455" t="s">
        <v>10</v>
      </c>
    </row>
    <row r="456" spans="1:15" x14ac:dyDescent="0.2">
      <c r="A456" t="s">
        <v>2586</v>
      </c>
      <c r="B456">
        <v>1971</v>
      </c>
      <c r="C456" t="s">
        <v>2059</v>
      </c>
      <c r="D456" t="s">
        <v>2066</v>
      </c>
      <c r="E456" t="s">
        <v>2079</v>
      </c>
      <c r="F456" t="s">
        <v>111</v>
      </c>
      <c r="I456">
        <v>94.610778443113801</v>
      </c>
      <c r="J456" t="s">
        <v>2063</v>
      </c>
      <c r="K456">
        <v>4</v>
      </c>
      <c r="L456">
        <v>0.36363636363636398</v>
      </c>
      <c r="M456" t="s">
        <v>2052</v>
      </c>
      <c r="N456" t="s">
        <v>2714</v>
      </c>
      <c r="O456" t="s">
        <v>10</v>
      </c>
    </row>
    <row r="457" spans="1:15" x14ac:dyDescent="0.2">
      <c r="A457" t="s">
        <v>2109</v>
      </c>
      <c r="B457">
        <v>50</v>
      </c>
      <c r="C457" t="s">
        <v>2059</v>
      </c>
      <c r="D457" t="s">
        <v>2069</v>
      </c>
      <c r="I457">
        <v>94.623655913978496</v>
      </c>
      <c r="J457" t="s">
        <v>2063</v>
      </c>
      <c r="K457">
        <v>1</v>
      </c>
      <c r="L457">
        <v>1</v>
      </c>
      <c r="M457" t="s">
        <v>2050</v>
      </c>
      <c r="N457" t="s">
        <v>2714</v>
      </c>
      <c r="O457" t="s">
        <v>10</v>
      </c>
    </row>
    <row r="458" spans="1:15" x14ac:dyDescent="0.2">
      <c r="A458" t="s">
        <v>2671</v>
      </c>
      <c r="B458">
        <v>2334</v>
      </c>
      <c r="C458" t="s">
        <v>2059</v>
      </c>
      <c r="D458" t="s">
        <v>2066</v>
      </c>
      <c r="E458" t="s">
        <v>2067</v>
      </c>
      <c r="I458">
        <v>94.652406417112303</v>
      </c>
      <c r="J458" t="s">
        <v>2113</v>
      </c>
      <c r="K458">
        <v>2</v>
      </c>
      <c r="L458">
        <v>1</v>
      </c>
      <c r="M458" t="s">
        <v>2051</v>
      </c>
      <c r="N458" t="s">
        <v>2714</v>
      </c>
      <c r="O458" t="s">
        <v>10</v>
      </c>
    </row>
    <row r="459" spans="1:15" x14ac:dyDescent="0.2">
      <c r="A459" t="s">
        <v>1340</v>
      </c>
      <c r="B459">
        <v>1584</v>
      </c>
      <c r="C459" t="s">
        <v>2059</v>
      </c>
      <c r="D459" t="s">
        <v>2066</v>
      </c>
      <c r="E459" t="s">
        <v>2079</v>
      </c>
      <c r="F459" t="s">
        <v>2519</v>
      </c>
      <c r="I459">
        <v>94.797687861271697</v>
      </c>
      <c r="J459" t="s">
        <v>2063</v>
      </c>
      <c r="K459">
        <v>29</v>
      </c>
      <c r="L459">
        <v>0.57999999999999996</v>
      </c>
      <c r="M459" t="s">
        <v>2052</v>
      </c>
      <c r="N459" t="s">
        <v>2714</v>
      </c>
      <c r="O459" t="s">
        <v>10</v>
      </c>
    </row>
    <row r="460" spans="1:15" x14ac:dyDescent="0.2">
      <c r="A460" t="s">
        <v>1763</v>
      </c>
      <c r="B460">
        <v>2178</v>
      </c>
      <c r="C460" t="s">
        <v>2059</v>
      </c>
      <c r="D460" t="s">
        <v>2066</v>
      </c>
      <c r="E460" t="s">
        <v>2067</v>
      </c>
      <c r="F460" t="s">
        <v>2588</v>
      </c>
      <c r="I460">
        <v>94.827586206896598</v>
      </c>
      <c r="J460" t="s">
        <v>2063</v>
      </c>
      <c r="K460">
        <v>50</v>
      </c>
      <c r="L460">
        <v>1</v>
      </c>
      <c r="M460" t="s">
        <v>2052</v>
      </c>
      <c r="N460" t="s">
        <v>2714</v>
      </c>
      <c r="O460" t="s">
        <v>10</v>
      </c>
    </row>
    <row r="461" spans="1:15" x14ac:dyDescent="0.2">
      <c r="A461" t="s">
        <v>1830</v>
      </c>
      <c r="B461">
        <v>2259</v>
      </c>
      <c r="C461" t="s">
        <v>2059</v>
      </c>
      <c r="D461" t="s">
        <v>2066</v>
      </c>
      <c r="E461" t="s">
        <v>2067</v>
      </c>
      <c r="F461" t="s">
        <v>2134</v>
      </c>
      <c r="I461">
        <v>94.886363636363598</v>
      </c>
      <c r="J461" t="s">
        <v>2063</v>
      </c>
      <c r="K461">
        <v>51</v>
      </c>
      <c r="L461">
        <v>1</v>
      </c>
      <c r="M461" t="s">
        <v>2052</v>
      </c>
      <c r="N461" t="s">
        <v>2714</v>
      </c>
      <c r="O461" t="s">
        <v>10</v>
      </c>
    </row>
    <row r="462" spans="1:15" x14ac:dyDescent="0.2">
      <c r="A462" t="s">
        <v>1423</v>
      </c>
      <c r="B462">
        <v>1711</v>
      </c>
      <c r="C462" t="s">
        <v>2059</v>
      </c>
      <c r="D462" t="s">
        <v>2066</v>
      </c>
      <c r="E462" t="s">
        <v>2090</v>
      </c>
      <c r="F462" t="s">
        <v>46</v>
      </c>
      <c r="I462">
        <v>94.886363636363598</v>
      </c>
      <c r="J462" t="s">
        <v>2063</v>
      </c>
      <c r="K462">
        <v>50</v>
      </c>
      <c r="L462">
        <v>1</v>
      </c>
      <c r="M462" t="s">
        <v>2052</v>
      </c>
      <c r="N462" t="s">
        <v>2714</v>
      </c>
      <c r="O462" t="s">
        <v>10</v>
      </c>
    </row>
    <row r="463" spans="1:15" x14ac:dyDescent="0.2">
      <c r="A463" t="s">
        <v>1894</v>
      </c>
      <c r="B463">
        <v>2326</v>
      </c>
      <c r="C463" t="s">
        <v>2059</v>
      </c>
      <c r="D463" t="s">
        <v>2060</v>
      </c>
      <c r="E463" t="s">
        <v>2061</v>
      </c>
      <c r="F463" t="s">
        <v>2062</v>
      </c>
      <c r="I463">
        <v>94.915254237288096</v>
      </c>
      <c r="J463" t="s">
        <v>2063</v>
      </c>
      <c r="K463">
        <v>50</v>
      </c>
      <c r="L463">
        <v>1</v>
      </c>
      <c r="M463" t="s">
        <v>2052</v>
      </c>
      <c r="N463" t="s">
        <v>2714</v>
      </c>
      <c r="O463" t="s">
        <v>10</v>
      </c>
    </row>
    <row r="464" spans="1:15" x14ac:dyDescent="0.2">
      <c r="A464" t="s">
        <v>1585</v>
      </c>
      <c r="B464">
        <v>1954</v>
      </c>
      <c r="C464" t="s">
        <v>2059</v>
      </c>
      <c r="D464" t="s">
        <v>2066</v>
      </c>
      <c r="E464" t="s">
        <v>2079</v>
      </c>
      <c r="F464" t="s">
        <v>734</v>
      </c>
      <c r="I464">
        <v>94.915254237288096</v>
      </c>
      <c r="J464" t="s">
        <v>2063</v>
      </c>
      <c r="K464">
        <v>21</v>
      </c>
      <c r="L464">
        <v>0.42</v>
      </c>
      <c r="M464" t="s">
        <v>2052</v>
      </c>
      <c r="N464" t="s">
        <v>2714</v>
      </c>
      <c r="O464" t="s">
        <v>10</v>
      </c>
    </row>
    <row r="465" spans="1:16" hidden="1" x14ac:dyDescent="0.2">
      <c r="A465" t="s">
        <v>679</v>
      </c>
      <c r="B465">
        <v>684</v>
      </c>
      <c r="C465" t="s">
        <v>2059</v>
      </c>
      <c r="D465" t="s">
        <v>2066</v>
      </c>
      <c r="E465" t="s">
        <v>2067</v>
      </c>
      <c r="F465" t="s">
        <v>2315</v>
      </c>
      <c r="G465" t="s">
        <v>680</v>
      </c>
      <c r="H465" t="s">
        <v>681</v>
      </c>
      <c r="I465">
        <v>99.447513812154696</v>
      </c>
      <c r="J465" t="s">
        <v>2063</v>
      </c>
      <c r="K465">
        <v>3</v>
      </c>
      <c r="L465">
        <v>1</v>
      </c>
      <c r="M465" t="s">
        <v>8</v>
      </c>
      <c r="N465" t="s">
        <v>2038</v>
      </c>
      <c r="O465" t="s">
        <v>10</v>
      </c>
      <c r="P465" t="s">
        <v>2316</v>
      </c>
    </row>
    <row r="466" spans="1:16" hidden="1" x14ac:dyDescent="0.2">
      <c r="A466" t="s">
        <v>775</v>
      </c>
      <c r="B466">
        <v>818</v>
      </c>
      <c r="C466" t="s">
        <v>2059</v>
      </c>
      <c r="D466" t="s">
        <v>2066</v>
      </c>
      <c r="E466" t="s">
        <v>2067</v>
      </c>
      <c r="F466" t="s">
        <v>2315</v>
      </c>
      <c r="G466" t="s">
        <v>680</v>
      </c>
      <c r="H466" t="s">
        <v>681</v>
      </c>
      <c r="I466">
        <v>100</v>
      </c>
      <c r="J466" t="s">
        <v>2063</v>
      </c>
      <c r="K466">
        <v>3</v>
      </c>
      <c r="L466">
        <v>1</v>
      </c>
      <c r="M466" t="s">
        <v>8</v>
      </c>
      <c r="N466" t="s">
        <v>2038</v>
      </c>
      <c r="O466" t="s">
        <v>10</v>
      </c>
      <c r="P466" t="s">
        <v>2316</v>
      </c>
    </row>
    <row r="467" spans="1:16" hidden="1" x14ac:dyDescent="0.2">
      <c r="A467" t="s">
        <v>975</v>
      </c>
      <c r="B467">
        <v>1128</v>
      </c>
      <c r="C467" t="s">
        <v>2059</v>
      </c>
      <c r="D467" t="s">
        <v>2066</v>
      </c>
      <c r="E467" t="s">
        <v>2067</v>
      </c>
      <c r="F467" t="s">
        <v>2315</v>
      </c>
      <c r="G467" t="s">
        <v>680</v>
      </c>
      <c r="H467" t="s">
        <v>681</v>
      </c>
      <c r="I467">
        <v>99.447513812154696</v>
      </c>
      <c r="J467" t="s">
        <v>2063</v>
      </c>
      <c r="K467">
        <v>3</v>
      </c>
      <c r="L467">
        <v>1</v>
      </c>
      <c r="M467" t="s">
        <v>8</v>
      </c>
      <c r="N467" t="s">
        <v>2038</v>
      </c>
      <c r="O467" t="s">
        <v>10</v>
      </c>
      <c r="P467" t="s">
        <v>2316</v>
      </c>
    </row>
    <row r="468" spans="1:16" hidden="1" x14ac:dyDescent="0.2">
      <c r="A468" t="s">
        <v>1066</v>
      </c>
      <c r="B468">
        <v>1268</v>
      </c>
      <c r="C468" t="s">
        <v>2059</v>
      </c>
      <c r="D468" t="s">
        <v>2066</v>
      </c>
      <c r="E468" t="s">
        <v>2067</v>
      </c>
      <c r="F468" t="s">
        <v>2315</v>
      </c>
      <c r="G468" t="s">
        <v>680</v>
      </c>
      <c r="H468" t="s">
        <v>681</v>
      </c>
      <c r="I468">
        <v>99.447513812154696</v>
      </c>
      <c r="J468" t="s">
        <v>2063</v>
      </c>
      <c r="K468">
        <v>3</v>
      </c>
      <c r="L468">
        <v>1</v>
      </c>
      <c r="M468" t="s">
        <v>8</v>
      </c>
      <c r="N468" t="s">
        <v>2038</v>
      </c>
      <c r="O468" t="s">
        <v>10</v>
      </c>
      <c r="P468" t="s">
        <v>2316</v>
      </c>
    </row>
    <row r="469" spans="1:16" hidden="1" x14ac:dyDescent="0.2">
      <c r="A469" t="s">
        <v>1427</v>
      </c>
      <c r="B469">
        <v>1724</v>
      </c>
      <c r="C469" t="s">
        <v>2059</v>
      </c>
      <c r="D469" t="s">
        <v>2066</v>
      </c>
      <c r="E469" t="s">
        <v>2067</v>
      </c>
      <c r="F469" t="s">
        <v>2315</v>
      </c>
      <c r="G469" t="s">
        <v>680</v>
      </c>
      <c r="H469" t="s">
        <v>681</v>
      </c>
      <c r="I469">
        <v>99.447513812154696</v>
      </c>
      <c r="J469" t="s">
        <v>2063</v>
      </c>
      <c r="K469">
        <v>3</v>
      </c>
      <c r="L469">
        <v>1</v>
      </c>
      <c r="M469" t="s">
        <v>8</v>
      </c>
      <c r="N469" t="s">
        <v>2038</v>
      </c>
      <c r="O469" t="s">
        <v>10</v>
      </c>
      <c r="P469" t="s">
        <v>2316</v>
      </c>
    </row>
    <row r="470" spans="1:16" hidden="1" x14ac:dyDescent="0.2">
      <c r="A470" t="s">
        <v>1606</v>
      </c>
      <c r="B470">
        <v>1974</v>
      </c>
      <c r="C470" t="s">
        <v>2059</v>
      </c>
      <c r="D470" t="s">
        <v>2066</v>
      </c>
      <c r="E470" t="s">
        <v>2067</v>
      </c>
      <c r="F470" t="s">
        <v>2588</v>
      </c>
      <c r="G470" t="s">
        <v>1607</v>
      </c>
      <c r="H470" t="s">
        <v>1608</v>
      </c>
      <c r="I470">
        <v>100</v>
      </c>
      <c r="J470" t="s">
        <v>2113</v>
      </c>
      <c r="K470">
        <v>3</v>
      </c>
      <c r="L470">
        <v>1</v>
      </c>
      <c r="M470" t="s">
        <v>8</v>
      </c>
      <c r="N470" t="s">
        <v>2038</v>
      </c>
      <c r="O470" t="s">
        <v>10</v>
      </c>
      <c r="P470" t="s">
        <v>2589</v>
      </c>
    </row>
    <row r="471" spans="1:16" x14ac:dyDescent="0.2">
      <c r="A471" t="s">
        <v>1639</v>
      </c>
      <c r="B471">
        <v>2006</v>
      </c>
      <c r="C471" t="s">
        <v>2059</v>
      </c>
      <c r="D471" t="s">
        <v>2066</v>
      </c>
      <c r="E471" t="s">
        <v>2079</v>
      </c>
      <c r="F471" t="s">
        <v>734</v>
      </c>
      <c r="I471">
        <v>94.915254237288096</v>
      </c>
      <c r="J471" t="s">
        <v>2063</v>
      </c>
      <c r="K471">
        <v>30</v>
      </c>
      <c r="L471">
        <v>0.6</v>
      </c>
      <c r="M471" t="s">
        <v>2052</v>
      </c>
      <c r="N471" t="s">
        <v>2714</v>
      </c>
      <c r="O471" t="s">
        <v>10</v>
      </c>
    </row>
    <row r="472" spans="1:16" x14ac:dyDescent="0.2">
      <c r="A472" t="s">
        <v>1101</v>
      </c>
      <c r="B472">
        <v>1299</v>
      </c>
      <c r="C472" t="s">
        <v>2059</v>
      </c>
      <c r="D472" t="s">
        <v>2066</v>
      </c>
      <c r="E472" t="s">
        <v>2090</v>
      </c>
      <c r="F472" t="s">
        <v>46</v>
      </c>
      <c r="I472">
        <v>94.915254237288096</v>
      </c>
      <c r="J472" t="s">
        <v>2063</v>
      </c>
      <c r="K472">
        <v>31</v>
      </c>
      <c r="L472">
        <v>0.62</v>
      </c>
      <c r="M472" t="s">
        <v>2052</v>
      </c>
      <c r="N472" t="s">
        <v>2714</v>
      </c>
      <c r="O472" t="s">
        <v>10</v>
      </c>
    </row>
    <row r="473" spans="1:16" x14ac:dyDescent="0.2">
      <c r="A473" t="s">
        <v>1515</v>
      </c>
      <c r="B473">
        <v>1865</v>
      </c>
      <c r="C473" t="s">
        <v>2059</v>
      </c>
      <c r="D473" t="s">
        <v>2066</v>
      </c>
      <c r="E473" t="s">
        <v>2090</v>
      </c>
      <c r="F473" t="s">
        <v>46</v>
      </c>
      <c r="I473">
        <v>94.915254237288096</v>
      </c>
      <c r="J473" t="s">
        <v>2063</v>
      </c>
      <c r="K473">
        <v>29</v>
      </c>
      <c r="L473">
        <v>0.57999999999999996</v>
      </c>
      <c r="M473" t="s">
        <v>2052</v>
      </c>
      <c r="N473" t="s">
        <v>2714</v>
      </c>
      <c r="O473" t="s">
        <v>10</v>
      </c>
    </row>
    <row r="474" spans="1:16" x14ac:dyDescent="0.2">
      <c r="A474" t="s">
        <v>1820</v>
      </c>
      <c r="B474">
        <v>2241</v>
      </c>
      <c r="C474" t="s">
        <v>2059</v>
      </c>
      <c r="D474" t="s">
        <v>2066</v>
      </c>
      <c r="E474" t="s">
        <v>2090</v>
      </c>
      <c r="F474" t="s">
        <v>46</v>
      </c>
      <c r="I474">
        <v>94.972067039106193</v>
      </c>
      <c r="J474" t="s">
        <v>2063</v>
      </c>
      <c r="K474">
        <v>28</v>
      </c>
      <c r="L474">
        <v>0.56000000000000005</v>
      </c>
      <c r="M474" t="s">
        <v>2052</v>
      </c>
      <c r="N474" t="s">
        <v>2714</v>
      </c>
      <c r="O474" t="s">
        <v>10</v>
      </c>
    </row>
    <row r="475" spans="1:16" x14ac:dyDescent="0.2">
      <c r="A475" t="s">
        <v>91</v>
      </c>
      <c r="B475">
        <v>49</v>
      </c>
      <c r="C475" t="s">
        <v>2059</v>
      </c>
      <c r="D475" t="s">
        <v>2069</v>
      </c>
      <c r="E475" t="s">
        <v>2077</v>
      </c>
      <c r="F475" t="s">
        <v>2108</v>
      </c>
      <c r="I475">
        <v>95</v>
      </c>
      <c r="J475" t="s">
        <v>2063</v>
      </c>
      <c r="K475">
        <v>50</v>
      </c>
      <c r="L475">
        <v>1</v>
      </c>
      <c r="M475" t="s">
        <v>2052</v>
      </c>
      <c r="N475" t="s">
        <v>2714</v>
      </c>
      <c r="O475" t="s">
        <v>10</v>
      </c>
    </row>
    <row r="476" spans="1:16" x14ac:dyDescent="0.2">
      <c r="A476" t="s">
        <v>1811</v>
      </c>
      <c r="B476">
        <v>2225</v>
      </c>
      <c r="C476" t="s">
        <v>2059</v>
      </c>
      <c r="D476" t="s">
        <v>2066</v>
      </c>
      <c r="E476" t="s">
        <v>2079</v>
      </c>
      <c r="F476" t="s">
        <v>734</v>
      </c>
      <c r="I476">
        <v>95</v>
      </c>
      <c r="J476" t="s">
        <v>2063</v>
      </c>
      <c r="K476">
        <v>27</v>
      </c>
      <c r="L476">
        <v>0.54</v>
      </c>
      <c r="M476" t="s">
        <v>2052</v>
      </c>
      <c r="N476" t="s">
        <v>2714</v>
      </c>
      <c r="O476" t="s">
        <v>10</v>
      </c>
    </row>
    <row r="477" spans="1:16" x14ac:dyDescent="0.2">
      <c r="A477" t="s">
        <v>1405</v>
      </c>
      <c r="B477">
        <v>1678</v>
      </c>
      <c r="C477" t="s">
        <v>2059</v>
      </c>
      <c r="D477" t="s">
        <v>2066</v>
      </c>
      <c r="E477" t="s">
        <v>2079</v>
      </c>
      <c r="F477" t="s">
        <v>1300</v>
      </c>
      <c r="I477">
        <v>95</v>
      </c>
      <c r="J477" t="s">
        <v>2063</v>
      </c>
      <c r="K477">
        <v>36</v>
      </c>
      <c r="L477">
        <v>0.72</v>
      </c>
      <c r="M477" t="s">
        <v>2052</v>
      </c>
      <c r="N477" t="s">
        <v>2714</v>
      </c>
      <c r="O477" t="s">
        <v>10</v>
      </c>
    </row>
    <row r="478" spans="1:16" x14ac:dyDescent="0.2">
      <c r="A478" t="s">
        <v>1732</v>
      </c>
      <c r="B478">
        <v>2151</v>
      </c>
      <c r="C478" t="s">
        <v>2059</v>
      </c>
      <c r="D478" t="s">
        <v>2066</v>
      </c>
      <c r="E478" t="s">
        <v>2080</v>
      </c>
      <c r="F478" t="s">
        <v>2389</v>
      </c>
      <c r="I478">
        <v>95</v>
      </c>
      <c r="J478" t="s">
        <v>2113</v>
      </c>
      <c r="K478">
        <v>48</v>
      </c>
      <c r="L478">
        <v>1</v>
      </c>
      <c r="M478" t="s">
        <v>2052</v>
      </c>
      <c r="N478" t="s">
        <v>2714</v>
      </c>
      <c r="O478" t="s">
        <v>10</v>
      </c>
    </row>
    <row r="479" spans="1:16" x14ac:dyDescent="0.2">
      <c r="A479" t="s">
        <v>1417</v>
      </c>
      <c r="B479">
        <v>1707</v>
      </c>
      <c r="C479" t="s">
        <v>2059</v>
      </c>
      <c r="D479" t="s">
        <v>2066</v>
      </c>
      <c r="E479" t="s">
        <v>2079</v>
      </c>
      <c r="F479" t="s">
        <v>79</v>
      </c>
      <c r="G479" t="s">
        <v>2103</v>
      </c>
      <c r="I479">
        <v>95.027624309392294</v>
      </c>
      <c r="J479" t="s">
        <v>2063</v>
      </c>
      <c r="K479">
        <v>12</v>
      </c>
      <c r="L479">
        <v>1</v>
      </c>
      <c r="M479" t="s">
        <v>7</v>
      </c>
      <c r="N479" t="s">
        <v>2714</v>
      </c>
      <c r="O479" t="s">
        <v>10</v>
      </c>
    </row>
    <row r="480" spans="1:16" x14ac:dyDescent="0.2">
      <c r="A480" t="s">
        <v>1655</v>
      </c>
      <c r="B480">
        <v>2034</v>
      </c>
      <c r="C480" t="s">
        <v>2059</v>
      </c>
      <c r="D480" t="s">
        <v>2066</v>
      </c>
      <c r="E480" t="s">
        <v>2079</v>
      </c>
      <c r="F480" t="s">
        <v>159</v>
      </c>
      <c r="G480" t="s">
        <v>2371</v>
      </c>
      <c r="I480">
        <v>95.027624309392294</v>
      </c>
      <c r="J480" t="s">
        <v>2113</v>
      </c>
      <c r="K480">
        <v>1</v>
      </c>
      <c r="L480">
        <v>1</v>
      </c>
      <c r="M480" t="s">
        <v>7</v>
      </c>
      <c r="N480" t="s">
        <v>2714</v>
      </c>
      <c r="O480" t="s">
        <v>10</v>
      </c>
    </row>
    <row r="481" spans="1:16" x14ac:dyDescent="0.2">
      <c r="A481" t="s">
        <v>1666</v>
      </c>
      <c r="B481">
        <v>2047</v>
      </c>
      <c r="C481" t="s">
        <v>2059</v>
      </c>
      <c r="D481" t="s">
        <v>2066</v>
      </c>
      <c r="E481" t="s">
        <v>2079</v>
      </c>
      <c r="F481" t="s">
        <v>159</v>
      </c>
      <c r="G481" t="s">
        <v>2371</v>
      </c>
      <c r="I481">
        <v>95.027624309392294</v>
      </c>
      <c r="J481" t="s">
        <v>2113</v>
      </c>
      <c r="K481">
        <v>3</v>
      </c>
      <c r="L481">
        <v>1</v>
      </c>
      <c r="M481" t="s">
        <v>7</v>
      </c>
      <c r="N481" t="s">
        <v>2714</v>
      </c>
      <c r="O481" t="s">
        <v>10</v>
      </c>
    </row>
    <row r="482" spans="1:16" x14ac:dyDescent="0.2">
      <c r="A482" t="s">
        <v>357</v>
      </c>
      <c r="B482">
        <v>268</v>
      </c>
      <c r="C482" t="s">
        <v>2059</v>
      </c>
      <c r="D482" t="s">
        <v>2066</v>
      </c>
      <c r="E482" t="s">
        <v>2079</v>
      </c>
      <c r="F482" t="s">
        <v>159</v>
      </c>
      <c r="G482" t="s">
        <v>2189</v>
      </c>
      <c r="I482">
        <v>95.027624309392294</v>
      </c>
      <c r="J482" t="s">
        <v>2063</v>
      </c>
      <c r="K482">
        <v>1</v>
      </c>
      <c r="L482">
        <v>1</v>
      </c>
      <c r="M482" t="s">
        <v>7</v>
      </c>
      <c r="N482" t="s">
        <v>2714</v>
      </c>
      <c r="O482" t="s">
        <v>10</v>
      </c>
    </row>
    <row r="483" spans="1:16" x14ac:dyDescent="0.2">
      <c r="A483" t="s">
        <v>212</v>
      </c>
      <c r="B483">
        <v>151</v>
      </c>
      <c r="C483" t="s">
        <v>2059</v>
      </c>
      <c r="D483" t="s">
        <v>2066</v>
      </c>
      <c r="E483" t="s">
        <v>2079</v>
      </c>
      <c r="F483" t="s">
        <v>159</v>
      </c>
      <c r="I483">
        <v>95.027624309392294</v>
      </c>
      <c r="J483" t="s">
        <v>2063</v>
      </c>
      <c r="K483">
        <v>40</v>
      </c>
      <c r="L483">
        <v>0.8</v>
      </c>
      <c r="M483" t="s">
        <v>2052</v>
      </c>
      <c r="N483" t="s">
        <v>2714</v>
      </c>
      <c r="O483" t="s">
        <v>10</v>
      </c>
    </row>
    <row r="484" spans="1:16" x14ac:dyDescent="0.2">
      <c r="A484" t="s">
        <v>2012</v>
      </c>
      <c r="B484">
        <v>2560</v>
      </c>
      <c r="C484" t="s">
        <v>2059</v>
      </c>
      <c r="D484" t="s">
        <v>2066</v>
      </c>
      <c r="E484" t="s">
        <v>2079</v>
      </c>
      <c r="F484" t="s">
        <v>80</v>
      </c>
      <c r="G484" t="s">
        <v>2685</v>
      </c>
      <c r="I484">
        <v>95.027624309392294</v>
      </c>
      <c r="J484" t="s">
        <v>2063</v>
      </c>
      <c r="K484">
        <v>1</v>
      </c>
      <c r="L484">
        <v>1</v>
      </c>
      <c r="M484" t="s">
        <v>7</v>
      </c>
      <c r="N484" t="s">
        <v>2714</v>
      </c>
      <c r="O484" t="s">
        <v>10</v>
      </c>
    </row>
    <row r="485" spans="1:16" x14ac:dyDescent="0.2">
      <c r="A485" t="s">
        <v>1360</v>
      </c>
      <c r="B485">
        <v>1611</v>
      </c>
      <c r="C485" t="s">
        <v>2059</v>
      </c>
      <c r="D485" t="s">
        <v>2066</v>
      </c>
      <c r="E485" t="s">
        <v>2079</v>
      </c>
      <c r="F485" t="s">
        <v>734</v>
      </c>
      <c r="G485" t="s">
        <v>735</v>
      </c>
      <c r="I485">
        <v>95.027624309392294</v>
      </c>
      <c r="J485" t="s">
        <v>2063</v>
      </c>
      <c r="K485">
        <v>6</v>
      </c>
      <c r="L485">
        <v>1</v>
      </c>
      <c r="M485" t="s">
        <v>7</v>
      </c>
      <c r="N485" t="s">
        <v>2714</v>
      </c>
      <c r="O485" t="s">
        <v>10</v>
      </c>
    </row>
    <row r="486" spans="1:16" x14ac:dyDescent="0.2">
      <c r="A486" t="s">
        <v>1542</v>
      </c>
      <c r="B486">
        <v>1891</v>
      </c>
      <c r="C486" t="s">
        <v>2059</v>
      </c>
      <c r="D486" t="s">
        <v>2066</v>
      </c>
      <c r="E486" t="s">
        <v>2079</v>
      </c>
      <c r="F486" t="s">
        <v>734</v>
      </c>
      <c r="G486" t="s">
        <v>735</v>
      </c>
      <c r="I486">
        <v>95.027624309392294</v>
      </c>
      <c r="J486" t="s">
        <v>2063</v>
      </c>
      <c r="K486">
        <v>2</v>
      </c>
      <c r="L486">
        <v>1</v>
      </c>
      <c r="M486" t="s">
        <v>7</v>
      </c>
      <c r="N486" t="s">
        <v>2714</v>
      </c>
      <c r="O486" t="s">
        <v>10</v>
      </c>
    </row>
    <row r="487" spans="1:16" x14ac:dyDescent="0.2">
      <c r="A487" t="s">
        <v>1849</v>
      </c>
      <c r="B487">
        <v>2270</v>
      </c>
      <c r="C487" t="s">
        <v>2059</v>
      </c>
      <c r="D487" t="s">
        <v>2066</v>
      </c>
      <c r="E487" t="s">
        <v>2079</v>
      </c>
      <c r="F487" t="s">
        <v>734</v>
      </c>
      <c r="G487" t="s">
        <v>735</v>
      </c>
      <c r="I487">
        <v>95.027624309392294</v>
      </c>
      <c r="J487" t="s">
        <v>2063</v>
      </c>
      <c r="K487">
        <v>2</v>
      </c>
      <c r="L487">
        <v>1</v>
      </c>
      <c r="M487" t="s">
        <v>7</v>
      </c>
      <c r="N487" t="s">
        <v>2714</v>
      </c>
      <c r="O487" t="s">
        <v>10</v>
      </c>
    </row>
    <row r="488" spans="1:16" x14ac:dyDescent="0.2">
      <c r="A488" t="s">
        <v>733</v>
      </c>
      <c r="B488">
        <v>754</v>
      </c>
      <c r="C488" t="s">
        <v>2059</v>
      </c>
      <c r="D488" t="s">
        <v>2066</v>
      </c>
      <c r="E488" t="s">
        <v>2079</v>
      </c>
      <c r="F488" t="s">
        <v>734</v>
      </c>
      <c r="G488" t="s">
        <v>1669</v>
      </c>
      <c r="I488">
        <v>95.027624309392294</v>
      </c>
      <c r="J488" t="s">
        <v>2063</v>
      </c>
      <c r="K488">
        <v>16</v>
      </c>
      <c r="L488">
        <v>0.51612903225806495</v>
      </c>
      <c r="M488" t="s">
        <v>7</v>
      </c>
      <c r="N488" t="s">
        <v>2714</v>
      </c>
      <c r="O488" t="s">
        <v>10</v>
      </c>
    </row>
    <row r="489" spans="1:16" x14ac:dyDescent="0.2">
      <c r="A489" t="s">
        <v>1444</v>
      </c>
      <c r="B489">
        <v>1765</v>
      </c>
      <c r="C489" t="s">
        <v>2059</v>
      </c>
      <c r="D489" t="s">
        <v>2066</v>
      </c>
      <c r="E489" t="s">
        <v>2079</v>
      </c>
      <c r="F489" t="s">
        <v>734</v>
      </c>
      <c r="G489" t="s">
        <v>1669</v>
      </c>
      <c r="I489">
        <v>95.027624309392294</v>
      </c>
      <c r="J489" t="s">
        <v>2063</v>
      </c>
      <c r="K489">
        <v>16</v>
      </c>
      <c r="L489">
        <v>0.51612903225806495</v>
      </c>
      <c r="M489" t="s">
        <v>7</v>
      </c>
      <c r="N489" t="s">
        <v>2714</v>
      </c>
      <c r="O489" t="s">
        <v>10</v>
      </c>
    </row>
    <row r="490" spans="1:16" hidden="1" x14ac:dyDescent="0.2">
      <c r="A490" t="s">
        <v>524</v>
      </c>
      <c r="B490">
        <v>517</v>
      </c>
      <c r="C490" t="s">
        <v>2059</v>
      </c>
      <c r="D490" t="s">
        <v>2066</v>
      </c>
      <c r="E490" t="s">
        <v>2067</v>
      </c>
      <c r="F490" t="s">
        <v>2116</v>
      </c>
      <c r="G490" t="s">
        <v>525</v>
      </c>
      <c r="H490" t="s">
        <v>526</v>
      </c>
      <c r="I490">
        <v>97.575757575757606</v>
      </c>
      <c r="J490" t="s">
        <v>2063</v>
      </c>
      <c r="K490">
        <v>5</v>
      </c>
      <c r="L490">
        <v>0.83333333333333304</v>
      </c>
      <c r="M490" t="s">
        <v>8</v>
      </c>
      <c r="N490" t="s">
        <v>2038</v>
      </c>
      <c r="O490" t="s">
        <v>10</v>
      </c>
      <c r="P490" t="s">
        <v>2262</v>
      </c>
    </row>
    <row r="491" spans="1:16" hidden="1" x14ac:dyDescent="0.2">
      <c r="A491" t="s">
        <v>1386</v>
      </c>
      <c r="B491">
        <v>1644</v>
      </c>
      <c r="C491" t="s">
        <v>2059</v>
      </c>
      <c r="D491" t="s">
        <v>2066</v>
      </c>
      <c r="E491" t="s">
        <v>2067</v>
      </c>
      <c r="F491" t="s">
        <v>2116</v>
      </c>
      <c r="G491" t="s">
        <v>525</v>
      </c>
      <c r="I491">
        <v>96.987951807228896</v>
      </c>
      <c r="J491" t="s">
        <v>2063</v>
      </c>
      <c r="K491">
        <v>26</v>
      </c>
      <c r="L491">
        <v>1</v>
      </c>
      <c r="M491" t="s">
        <v>7</v>
      </c>
      <c r="N491" t="s">
        <v>2038</v>
      </c>
      <c r="O491" t="s">
        <v>10</v>
      </c>
    </row>
    <row r="492" spans="1:16" hidden="1" x14ac:dyDescent="0.2">
      <c r="A492" t="s">
        <v>1626</v>
      </c>
      <c r="B492">
        <v>1992</v>
      </c>
      <c r="C492" t="s">
        <v>2059</v>
      </c>
      <c r="D492" t="s">
        <v>2066</v>
      </c>
      <c r="E492" t="s">
        <v>2067</v>
      </c>
      <c r="F492" t="s">
        <v>2116</v>
      </c>
      <c r="G492" t="s">
        <v>525</v>
      </c>
      <c r="I492">
        <v>96.987951807228896</v>
      </c>
      <c r="J492" t="s">
        <v>2063</v>
      </c>
      <c r="K492">
        <v>24</v>
      </c>
      <c r="L492">
        <v>1</v>
      </c>
      <c r="M492" t="s">
        <v>7</v>
      </c>
      <c r="N492" t="s">
        <v>2038</v>
      </c>
      <c r="O492" t="s">
        <v>10</v>
      </c>
    </row>
    <row r="493" spans="1:16" hidden="1" x14ac:dyDescent="0.2">
      <c r="A493" t="s">
        <v>117</v>
      </c>
      <c r="B493">
        <v>67</v>
      </c>
      <c r="C493" t="s">
        <v>2059</v>
      </c>
      <c r="D493" t="s">
        <v>2066</v>
      </c>
      <c r="E493" t="s">
        <v>2067</v>
      </c>
      <c r="F493" t="s">
        <v>2116</v>
      </c>
      <c r="G493" t="s">
        <v>2117</v>
      </c>
      <c r="I493">
        <v>96.460176991150405</v>
      </c>
      <c r="J493" t="s">
        <v>2113</v>
      </c>
      <c r="K493">
        <v>1</v>
      </c>
      <c r="L493">
        <v>0.5</v>
      </c>
      <c r="M493" t="s">
        <v>7</v>
      </c>
      <c r="N493" t="s">
        <v>2038</v>
      </c>
      <c r="O493" t="s">
        <v>10</v>
      </c>
    </row>
    <row r="494" spans="1:16" hidden="1" x14ac:dyDescent="0.2">
      <c r="A494" t="s">
        <v>479</v>
      </c>
      <c r="B494">
        <v>424</v>
      </c>
      <c r="C494" t="s">
        <v>2059</v>
      </c>
      <c r="D494" t="s">
        <v>2066</v>
      </c>
      <c r="E494" t="s">
        <v>2067</v>
      </c>
      <c r="F494" t="s">
        <v>2116</v>
      </c>
      <c r="G494" t="s">
        <v>2117</v>
      </c>
      <c r="I494">
        <v>96.460176991150405</v>
      </c>
      <c r="J494" t="s">
        <v>2113</v>
      </c>
      <c r="K494">
        <v>1</v>
      </c>
      <c r="L494">
        <v>1</v>
      </c>
      <c r="M494" t="s">
        <v>7</v>
      </c>
      <c r="N494" t="s">
        <v>2038</v>
      </c>
      <c r="O494" t="s">
        <v>10</v>
      </c>
    </row>
    <row r="495" spans="1:16" x14ac:dyDescent="0.2">
      <c r="A495" t="s">
        <v>1999</v>
      </c>
      <c r="B495">
        <v>2526</v>
      </c>
      <c r="C495" t="s">
        <v>2059</v>
      </c>
      <c r="D495" t="s">
        <v>2066</v>
      </c>
      <c r="E495" t="s">
        <v>2079</v>
      </c>
      <c r="F495" t="s">
        <v>734</v>
      </c>
      <c r="G495" t="s">
        <v>1669</v>
      </c>
      <c r="I495">
        <v>95.027624309392294</v>
      </c>
      <c r="J495" t="s">
        <v>2063</v>
      </c>
      <c r="K495">
        <v>16</v>
      </c>
      <c r="L495">
        <v>0.53333333333333299</v>
      </c>
      <c r="M495" t="s">
        <v>7</v>
      </c>
      <c r="N495" t="s">
        <v>2714</v>
      </c>
      <c r="O495" t="s">
        <v>10</v>
      </c>
    </row>
    <row r="496" spans="1:16" x14ac:dyDescent="0.2">
      <c r="A496" t="s">
        <v>1870</v>
      </c>
      <c r="B496">
        <v>2308</v>
      </c>
      <c r="C496" t="s">
        <v>2059</v>
      </c>
      <c r="D496" t="s">
        <v>2066</v>
      </c>
      <c r="E496" t="s">
        <v>2082</v>
      </c>
      <c r="F496" t="s">
        <v>241</v>
      </c>
      <c r="G496" t="s">
        <v>2667</v>
      </c>
      <c r="I496">
        <v>95.027624309392294</v>
      </c>
      <c r="J496" t="s">
        <v>2063</v>
      </c>
      <c r="K496">
        <v>1</v>
      </c>
      <c r="L496">
        <v>0.5</v>
      </c>
      <c r="M496" t="s">
        <v>7</v>
      </c>
      <c r="N496" t="s">
        <v>2037</v>
      </c>
      <c r="O496" t="s">
        <v>10</v>
      </c>
    </row>
    <row r="497" spans="1:16" x14ac:dyDescent="0.2">
      <c r="A497" t="s">
        <v>106</v>
      </c>
      <c r="B497">
        <v>56</v>
      </c>
      <c r="C497" t="s">
        <v>2059</v>
      </c>
      <c r="D497" t="s">
        <v>2066</v>
      </c>
      <c r="E497" t="s">
        <v>2082</v>
      </c>
      <c r="F497" t="s">
        <v>2111</v>
      </c>
      <c r="G497" t="s">
        <v>108</v>
      </c>
      <c r="I497">
        <v>95.027624309392294</v>
      </c>
      <c r="J497" t="s">
        <v>2063</v>
      </c>
      <c r="K497">
        <v>2</v>
      </c>
      <c r="L497">
        <v>1</v>
      </c>
      <c r="M497" t="s">
        <v>7</v>
      </c>
      <c r="N497" t="s">
        <v>2037</v>
      </c>
      <c r="O497" t="s">
        <v>10</v>
      </c>
    </row>
    <row r="498" spans="1:16" x14ac:dyDescent="0.2">
      <c r="A498" t="s">
        <v>873</v>
      </c>
      <c r="B498">
        <v>948</v>
      </c>
      <c r="C498" t="s">
        <v>2059</v>
      </c>
      <c r="D498" t="s">
        <v>2066</v>
      </c>
      <c r="E498" t="s">
        <v>2082</v>
      </c>
      <c r="F498" t="s">
        <v>2375</v>
      </c>
      <c r="G498" t="s">
        <v>2376</v>
      </c>
      <c r="I498">
        <v>95.027624309392294</v>
      </c>
      <c r="J498" t="s">
        <v>2063</v>
      </c>
      <c r="K498">
        <v>7</v>
      </c>
      <c r="L498">
        <v>0.225806451612903</v>
      </c>
      <c r="M498" t="s">
        <v>7</v>
      </c>
      <c r="N498" t="s">
        <v>2714</v>
      </c>
      <c r="O498" t="s">
        <v>10</v>
      </c>
    </row>
    <row r="499" spans="1:16" x14ac:dyDescent="0.2">
      <c r="A499" t="s">
        <v>1861</v>
      </c>
      <c r="B499">
        <v>2301</v>
      </c>
      <c r="C499" t="s">
        <v>2059</v>
      </c>
      <c r="D499" t="s">
        <v>2066</v>
      </c>
      <c r="E499" t="s">
        <v>2082</v>
      </c>
      <c r="F499" t="s">
        <v>675</v>
      </c>
      <c r="G499" t="s">
        <v>2665</v>
      </c>
      <c r="I499">
        <v>95.027624309392294</v>
      </c>
      <c r="J499" t="s">
        <v>2063</v>
      </c>
      <c r="K499">
        <v>32</v>
      </c>
      <c r="L499">
        <v>0.76190476190476197</v>
      </c>
      <c r="M499" t="s">
        <v>7</v>
      </c>
      <c r="N499" t="s">
        <v>2714</v>
      </c>
      <c r="O499" t="s">
        <v>10</v>
      </c>
    </row>
    <row r="500" spans="1:16" hidden="1" x14ac:dyDescent="0.2">
      <c r="A500" t="s">
        <v>996</v>
      </c>
      <c r="B500">
        <v>1149</v>
      </c>
      <c r="C500" t="s">
        <v>2059</v>
      </c>
      <c r="D500" t="s">
        <v>2066</v>
      </c>
      <c r="E500" t="s">
        <v>2067</v>
      </c>
      <c r="F500" t="s">
        <v>2423</v>
      </c>
      <c r="G500" t="s">
        <v>2424</v>
      </c>
      <c r="H500" t="s">
        <v>2425</v>
      </c>
      <c r="I500">
        <v>100</v>
      </c>
      <c r="J500" t="s">
        <v>2063</v>
      </c>
      <c r="K500">
        <v>11</v>
      </c>
      <c r="L500">
        <v>1</v>
      </c>
      <c r="M500" t="s">
        <v>8</v>
      </c>
      <c r="N500" t="s">
        <v>2038</v>
      </c>
      <c r="O500" t="s">
        <v>10</v>
      </c>
      <c r="P500" t="s">
        <v>2426</v>
      </c>
    </row>
    <row r="501" spans="1:16" x14ac:dyDescent="0.2">
      <c r="A501" t="s">
        <v>1649</v>
      </c>
      <c r="B501">
        <v>2027</v>
      </c>
      <c r="C501" t="s">
        <v>2059</v>
      </c>
      <c r="D501" t="s">
        <v>2066</v>
      </c>
      <c r="E501" t="s">
        <v>2082</v>
      </c>
      <c r="F501" t="s">
        <v>141</v>
      </c>
      <c r="G501" t="s">
        <v>1652</v>
      </c>
      <c r="I501">
        <v>95.027624309392294</v>
      </c>
      <c r="J501" t="s">
        <v>2063</v>
      </c>
      <c r="K501">
        <v>7</v>
      </c>
      <c r="L501">
        <v>0.7</v>
      </c>
      <c r="M501" t="s">
        <v>7</v>
      </c>
      <c r="N501" t="s">
        <v>2714</v>
      </c>
      <c r="O501" t="s">
        <v>10</v>
      </c>
    </row>
    <row r="502" spans="1:16" x14ac:dyDescent="0.2">
      <c r="A502" t="s">
        <v>45</v>
      </c>
      <c r="B502">
        <v>20</v>
      </c>
      <c r="C502" t="s">
        <v>2059</v>
      </c>
      <c r="D502" t="s">
        <v>2066</v>
      </c>
      <c r="E502" t="s">
        <v>2090</v>
      </c>
      <c r="F502" t="s">
        <v>46</v>
      </c>
      <c r="I502">
        <v>95.027624309392294</v>
      </c>
      <c r="J502" t="s">
        <v>2063</v>
      </c>
      <c r="K502">
        <v>36</v>
      </c>
      <c r="L502">
        <v>0.72</v>
      </c>
      <c r="M502" t="s">
        <v>2052</v>
      </c>
      <c r="N502" t="s">
        <v>2714</v>
      </c>
      <c r="O502" t="s">
        <v>10</v>
      </c>
    </row>
    <row r="503" spans="1:16" x14ac:dyDescent="0.2">
      <c r="A503" t="s">
        <v>1936</v>
      </c>
      <c r="B503">
        <v>2396</v>
      </c>
      <c r="C503" t="s">
        <v>2059</v>
      </c>
      <c r="D503" t="s">
        <v>2066</v>
      </c>
      <c r="E503" t="s">
        <v>2090</v>
      </c>
      <c r="F503" t="s">
        <v>46</v>
      </c>
      <c r="I503">
        <v>95.027624309392294</v>
      </c>
      <c r="J503" t="s">
        <v>2113</v>
      </c>
      <c r="K503">
        <v>42</v>
      </c>
      <c r="L503">
        <v>0.84</v>
      </c>
      <c r="M503" t="s">
        <v>2052</v>
      </c>
      <c r="N503" t="s">
        <v>2714</v>
      </c>
      <c r="O503" t="s">
        <v>10</v>
      </c>
    </row>
    <row r="504" spans="1:16" x14ac:dyDescent="0.2">
      <c r="A504" t="s">
        <v>657</v>
      </c>
      <c r="B504">
        <v>664</v>
      </c>
      <c r="C504" t="s">
        <v>2059</v>
      </c>
      <c r="D504" t="s">
        <v>2066</v>
      </c>
      <c r="E504" t="s">
        <v>2079</v>
      </c>
      <c r="I504">
        <v>95.081967213114794</v>
      </c>
      <c r="J504" t="s">
        <v>2063</v>
      </c>
      <c r="K504">
        <v>1</v>
      </c>
      <c r="L504">
        <v>1</v>
      </c>
      <c r="M504" t="s">
        <v>2051</v>
      </c>
      <c r="N504" t="s">
        <v>2714</v>
      </c>
      <c r="O504" t="s">
        <v>10</v>
      </c>
    </row>
    <row r="505" spans="1:16" x14ac:dyDescent="0.2">
      <c r="A505" t="s">
        <v>2245</v>
      </c>
      <c r="B505">
        <v>456</v>
      </c>
      <c r="C505" t="s">
        <v>2059</v>
      </c>
      <c r="I505">
        <v>95.135135135135101</v>
      </c>
      <c r="J505" t="s">
        <v>2063</v>
      </c>
      <c r="K505">
        <v>1</v>
      </c>
      <c r="L505">
        <v>1</v>
      </c>
      <c r="M505" t="s">
        <v>2049</v>
      </c>
      <c r="N505" t="s">
        <v>2714</v>
      </c>
      <c r="O505" t="s">
        <v>10</v>
      </c>
    </row>
    <row r="506" spans="1:16" x14ac:dyDescent="0.2">
      <c r="A506" t="s">
        <v>1354</v>
      </c>
      <c r="B506">
        <v>1608</v>
      </c>
      <c r="C506" t="s">
        <v>2059</v>
      </c>
      <c r="D506" t="s">
        <v>2066</v>
      </c>
      <c r="E506" t="s">
        <v>2079</v>
      </c>
      <c r="F506" t="s">
        <v>177</v>
      </c>
      <c r="I506">
        <v>95.209580838323305</v>
      </c>
      <c r="J506" t="s">
        <v>2063</v>
      </c>
      <c r="K506">
        <v>43</v>
      </c>
      <c r="L506">
        <v>0.87755102040816302</v>
      </c>
      <c r="M506" t="s">
        <v>2052</v>
      </c>
      <c r="N506" t="s">
        <v>2714</v>
      </c>
      <c r="O506" t="s">
        <v>10</v>
      </c>
    </row>
    <row r="507" spans="1:16" x14ac:dyDescent="0.2">
      <c r="A507" t="s">
        <v>864</v>
      </c>
      <c r="B507">
        <v>940</v>
      </c>
      <c r="C507" t="s">
        <v>2059</v>
      </c>
      <c r="D507" t="s">
        <v>2066</v>
      </c>
      <c r="E507" t="s">
        <v>2091</v>
      </c>
      <c r="F507" t="s">
        <v>209</v>
      </c>
      <c r="I507">
        <v>95.375722543352595</v>
      </c>
      <c r="J507" t="s">
        <v>2063</v>
      </c>
      <c r="K507">
        <v>48</v>
      </c>
      <c r="L507">
        <v>1</v>
      </c>
      <c r="M507" t="s">
        <v>2052</v>
      </c>
      <c r="N507" t="s">
        <v>2714</v>
      </c>
      <c r="O507" t="s">
        <v>10</v>
      </c>
    </row>
    <row r="508" spans="1:16" x14ac:dyDescent="0.2">
      <c r="A508" t="s">
        <v>1380</v>
      </c>
      <c r="B508">
        <v>1638</v>
      </c>
      <c r="C508" t="s">
        <v>2059</v>
      </c>
      <c r="D508" t="s">
        <v>2066</v>
      </c>
      <c r="E508" t="s">
        <v>2067</v>
      </c>
      <c r="F508" t="s">
        <v>2134</v>
      </c>
      <c r="I508">
        <v>95.454545454545496</v>
      </c>
      <c r="J508" t="s">
        <v>2063</v>
      </c>
      <c r="K508">
        <v>51</v>
      </c>
      <c r="L508">
        <v>1</v>
      </c>
      <c r="M508" t="s">
        <v>2052</v>
      </c>
      <c r="N508" t="s">
        <v>2714</v>
      </c>
      <c r="O508" t="s">
        <v>10</v>
      </c>
    </row>
    <row r="509" spans="1:16" hidden="1" x14ac:dyDescent="0.2">
      <c r="A509" t="s">
        <v>1557</v>
      </c>
      <c r="B509">
        <v>1909</v>
      </c>
      <c r="C509" t="s">
        <v>2059</v>
      </c>
      <c r="D509" t="s">
        <v>2066</v>
      </c>
      <c r="E509" t="s">
        <v>2067</v>
      </c>
      <c r="F509" t="s">
        <v>2572</v>
      </c>
      <c r="G509" t="s">
        <v>1558</v>
      </c>
      <c r="H509" t="s">
        <v>1559</v>
      </c>
      <c r="I509">
        <v>99.447513812154696</v>
      </c>
      <c r="J509" t="s">
        <v>2063</v>
      </c>
      <c r="K509">
        <v>21</v>
      </c>
      <c r="L509">
        <v>1</v>
      </c>
      <c r="M509" t="s">
        <v>8</v>
      </c>
      <c r="N509" t="s">
        <v>2038</v>
      </c>
      <c r="O509" t="s">
        <v>10</v>
      </c>
      <c r="P509" t="s">
        <v>2573</v>
      </c>
    </row>
    <row r="510" spans="1:16" hidden="1" x14ac:dyDescent="0.2">
      <c r="A510" t="s">
        <v>1742</v>
      </c>
      <c r="B510">
        <v>2165</v>
      </c>
      <c r="C510" t="s">
        <v>2059</v>
      </c>
      <c r="D510" t="s">
        <v>2066</v>
      </c>
      <c r="E510" t="s">
        <v>2067</v>
      </c>
      <c r="F510" t="s">
        <v>2572</v>
      </c>
      <c r="G510" t="s">
        <v>1558</v>
      </c>
      <c r="H510" t="s">
        <v>1559</v>
      </c>
      <c r="I510">
        <v>99.447513812154696</v>
      </c>
      <c r="J510" t="s">
        <v>2063</v>
      </c>
      <c r="K510">
        <v>21</v>
      </c>
      <c r="L510">
        <v>1</v>
      </c>
      <c r="M510" t="s">
        <v>8</v>
      </c>
      <c r="N510" t="s">
        <v>2038</v>
      </c>
      <c r="O510" t="s">
        <v>10</v>
      </c>
      <c r="P510" t="s">
        <v>2625</v>
      </c>
    </row>
    <row r="511" spans="1:16" x14ac:dyDescent="0.2">
      <c r="A511" t="s">
        <v>1996</v>
      </c>
      <c r="B511">
        <v>2524</v>
      </c>
      <c r="C511" t="s">
        <v>2059</v>
      </c>
      <c r="D511" t="s">
        <v>2066</v>
      </c>
      <c r="E511" t="s">
        <v>2067</v>
      </c>
      <c r="F511" t="s">
        <v>2134</v>
      </c>
      <c r="I511">
        <v>95.454545454545496</v>
      </c>
      <c r="J511" t="s">
        <v>2063</v>
      </c>
      <c r="K511">
        <v>51</v>
      </c>
      <c r="L511">
        <v>1</v>
      </c>
      <c r="M511" t="s">
        <v>2052</v>
      </c>
      <c r="N511" t="s">
        <v>2714</v>
      </c>
      <c r="O511" t="s">
        <v>10</v>
      </c>
    </row>
    <row r="512" spans="1:16" x14ac:dyDescent="0.2">
      <c r="A512" t="s">
        <v>246</v>
      </c>
      <c r="B512">
        <v>171</v>
      </c>
      <c r="C512" t="s">
        <v>2059</v>
      </c>
      <c r="D512" t="s">
        <v>2069</v>
      </c>
      <c r="E512" t="s">
        <v>2127</v>
      </c>
      <c r="I512">
        <v>95.480225988700596</v>
      </c>
      <c r="J512" t="s">
        <v>2063</v>
      </c>
      <c r="K512">
        <v>2</v>
      </c>
      <c r="L512">
        <v>1</v>
      </c>
      <c r="M512" t="s">
        <v>2051</v>
      </c>
      <c r="N512" t="s">
        <v>2714</v>
      </c>
      <c r="O512" t="s">
        <v>10</v>
      </c>
    </row>
    <row r="513" spans="1:16" x14ac:dyDescent="0.2">
      <c r="A513" t="s">
        <v>800</v>
      </c>
      <c r="B513">
        <v>856</v>
      </c>
      <c r="C513" t="s">
        <v>2059</v>
      </c>
      <c r="D513" t="s">
        <v>2066</v>
      </c>
      <c r="E513" t="s">
        <v>2091</v>
      </c>
      <c r="F513" t="s">
        <v>209</v>
      </c>
      <c r="I513">
        <v>95.480225988700596</v>
      </c>
      <c r="J513" t="s">
        <v>2063</v>
      </c>
      <c r="K513">
        <v>48</v>
      </c>
      <c r="L513">
        <v>1</v>
      </c>
      <c r="M513" t="s">
        <v>2052</v>
      </c>
      <c r="N513" t="s">
        <v>2714</v>
      </c>
      <c r="O513" t="s">
        <v>10</v>
      </c>
    </row>
    <row r="514" spans="1:16" x14ac:dyDescent="0.2">
      <c r="A514" t="s">
        <v>852</v>
      </c>
      <c r="B514">
        <v>925</v>
      </c>
      <c r="C514" t="s">
        <v>2059</v>
      </c>
      <c r="D514" t="s">
        <v>2066</v>
      </c>
      <c r="E514" t="s">
        <v>2079</v>
      </c>
      <c r="F514" t="s">
        <v>159</v>
      </c>
      <c r="G514" t="s">
        <v>2371</v>
      </c>
      <c r="I514">
        <v>95.480225988700596</v>
      </c>
      <c r="J514" t="s">
        <v>2063</v>
      </c>
      <c r="K514">
        <v>2</v>
      </c>
      <c r="L514">
        <v>0.5</v>
      </c>
      <c r="M514" t="s">
        <v>7</v>
      </c>
      <c r="N514" t="s">
        <v>2714</v>
      </c>
      <c r="O514" t="s">
        <v>10</v>
      </c>
    </row>
    <row r="515" spans="1:16" x14ac:dyDescent="0.2">
      <c r="A515" t="s">
        <v>1148</v>
      </c>
      <c r="B515">
        <v>1378</v>
      </c>
      <c r="C515" t="s">
        <v>2059</v>
      </c>
      <c r="D515" t="s">
        <v>2066</v>
      </c>
      <c r="E515" t="s">
        <v>2079</v>
      </c>
      <c r="F515" t="s">
        <v>734</v>
      </c>
      <c r="G515" t="s">
        <v>735</v>
      </c>
      <c r="I515">
        <v>95.480225988700596</v>
      </c>
      <c r="J515" t="s">
        <v>2063</v>
      </c>
      <c r="K515">
        <v>9</v>
      </c>
      <c r="L515">
        <v>0.69230769230769196</v>
      </c>
      <c r="M515" t="s">
        <v>7</v>
      </c>
      <c r="N515" t="s">
        <v>2714</v>
      </c>
      <c r="O515" t="s">
        <v>10</v>
      </c>
    </row>
    <row r="516" spans="1:16" x14ac:dyDescent="0.2">
      <c r="A516" t="s">
        <v>1647</v>
      </c>
      <c r="B516">
        <v>2015</v>
      </c>
      <c r="C516" t="s">
        <v>2059</v>
      </c>
      <c r="D516" t="s">
        <v>2066</v>
      </c>
      <c r="E516" t="s">
        <v>2090</v>
      </c>
      <c r="F516" t="s">
        <v>46</v>
      </c>
      <c r="I516">
        <v>95.480225988700596</v>
      </c>
      <c r="J516" t="s">
        <v>2063</v>
      </c>
      <c r="K516">
        <v>33</v>
      </c>
      <c r="L516">
        <v>0.66</v>
      </c>
      <c r="M516" t="s">
        <v>2052</v>
      </c>
      <c r="N516" t="s">
        <v>2714</v>
      </c>
      <c r="O516" t="s">
        <v>10</v>
      </c>
    </row>
    <row r="517" spans="1:16" x14ac:dyDescent="0.2">
      <c r="A517" t="s">
        <v>1913</v>
      </c>
      <c r="B517">
        <v>2352</v>
      </c>
      <c r="C517" t="s">
        <v>2059</v>
      </c>
      <c r="D517" t="s">
        <v>2066</v>
      </c>
      <c r="E517" t="s">
        <v>2079</v>
      </c>
      <c r="F517" t="s">
        <v>177</v>
      </c>
      <c r="I517">
        <v>95.530726256983201</v>
      </c>
      <c r="J517" t="s">
        <v>2063</v>
      </c>
      <c r="K517">
        <v>27</v>
      </c>
      <c r="L517">
        <v>0.54</v>
      </c>
      <c r="M517" t="s">
        <v>2052</v>
      </c>
      <c r="N517" t="s">
        <v>2714</v>
      </c>
      <c r="O517" t="s">
        <v>10</v>
      </c>
    </row>
    <row r="518" spans="1:16" x14ac:dyDescent="0.2">
      <c r="A518" t="s">
        <v>1531</v>
      </c>
      <c r="B518">
        <v>1884</v>
      </c>
      <c r="C518" t="s">
        <v>2059</v>
      </c>
      <c r="D518" t="s">
        <v>2066</v>
      </c>
      <c r="E518" t="s">
        <v>2079</v>
      </c>
      <c r="F518" t="s">
        <v>1493</v>
      </c>
      <c r="G518" t="s">
        <v>2564</v>
      </c>
      <c r="I518">
        <v>95.530726256983201</v>
      </c>
      <c r="J518" t="s">
        <v>2063</v>
      </c>
      <c r="K518">
        <v>2</v>
      </c>
      <c r="L518">
        <v>1</v>
      </c>
      <c r="M518" t="s">
        <v>7</v>
      </c>
      <c r="N518" t="s">
        <v>2714</v>
      </c>
      <c r="O518" t="s">
        <v>10</v>
      </c>
    </row>
    <row r="519" spans="1:16" x14ac:dyDescent="0.2">
      <c r="A519" t="s">
        <v>78</v>
      </c>
      <c r="B519">
        <v>40</v>
      </c>
      <c r="C519" t="s">
        <v>2059</v>
      </c>
      <c r="D519" t="s">
        <v>2066</v>
      </c>
      <c r="E519" t="s">
        <v>2079</v>
      </c>
      <c r="F519" t="s">
        <v>79</v>
      </c>
      <c r="G519" t="s">
        <v>2103</v>
      </c>
      <c r="I519">
        <v>95.5555555555556</v>
      </c>
      <c r="J519" t="s">
        <v>2063</v>
      </c>
      <c r="K519">
        <v>15</v>
      </c>
      <c r="L519">
        <v>1</v>
      </c>
      <c r="M519" t="s">
        <v>7</v>
      </c>
      <c r="N519" t="s">
        <v>2714</v>
      </c>
      <c r="O519" t="s">
        <v>10</v>
      </c>
    </row>
    <row r="520" spans="1:16" hidden="1" x14ac:dyDescent="0.2">
      <c r="A520" t="s">
        <v>939</v>
      </c>
      <c r="B520">
        <v>1051</v>
      </c>
      <c r="C520" t="s">
        <v>2059</v>
      </c>
      <c r="D520" t="s">
        <v>2066</v>
      </c>
      <c r="E520" t="s">
        <v>2080</v>
      </c>
      <c r="F520" t="s">
        <v>2402</v>
      </c>
      <c r="G520" t="s">
        <v>941</v>
      </c>
      <c r="H520" t="s">
        <v>942</v>
      </c>
      <c r="I520">
        <v>100</v>
      </c>
      <c r="J520" t="s">
        <v>2063</v>
      </c>
      <c r="K520">
        <v>7</v>
      </c>
      <c r="L520">
        <v>0.875</v>
      </c>
      <c r="M520" t="s">
        <v>8</v>
      </c>
      <c r="N520" t="s">
        <v>2038</v>
      </c>
      <c r="O520" t="s">
        <v>10</v>
      </c>
      <c r="P520" t="s">
        <v>2403</v>
      </c>
    </row>
    <row r="521" spans="1:16" x14ac:dyDescent="0.2">
      <c r="A521" t="s">
        <v>1190</v>
      </c>
      <c r="B521">
        <v>1427</v>
      </c>
      <c r="C521" t="s">
        <v>2059</v>
      </c>
      <c r="D521" t="s">
        <v>2066</v>
      </c>
      <c r="E521" t="s">
        <v>2079</v>
      </c>
      <c r="F521" t="s">
        <v>734</v>
      </c>
      <c r="I521">
        <v>95.5555555555556</v>
      </c>
      <c r="J521" t="s">
        <v>2063</v>
      </c>
      <c r="K521">
        <v>17</v>
      </c>
      <c r="L521">
        <v>0.34</v>
      </c>
      <c r="M521" t="s">
        <v>2052</v>
      </c>
      <c r="N521" t="s">
        <v>2714</v>
      </c>
      <c r="O521" t="s">
        <v>10</v>
      </c>
    </row>
    <row r="522" spans="1:16" x14ac:dyDescent="0.2">
      <c r="A522" t="s">
        <v>933</v>
      </c>
      <c r="B522">
        <v>1048</v>
      </c>
      <c r="C522" t="s">
        <v>2059</v>
      </c>
      <c r="D522" t="s">
        <v>2066</v>
      </c>
      <c r="E522" t="s">
        <v>2082</v>
      </c>
      <c r="F522" t="s">
        <v>241</v>
      </c>
      <c r="G522" t="s">
        <v>495</v>
      </c>
      <c r="I522">
        <v>95.5555555555556</v>
      </c>
      <c r="J522" t="s">
        <v>2063</v>
      </c>
      <c r="K522">
        <v>13</v>
      </c>
      <c r="L522">
        <v>0.32500000000000001</v>
      </c>
      <c r="M522" t="s">
        <v>7</v>
      </c>
      <c r="N522" t="s">
        <v>2714</v>
      </c>
      <c r="O522" t="s">
        <v>10</v>
      </c>
    </row>
    <row r="523" spans="1:16" hidden="1" x14ac:dyDescent="0.2">
      <c r="A523" t="s">
        <v>612</v>
      </c>
      <c r="B523">
        <v>619</v>
      </c>
      <c r="C523" t="s">
        <v>2059</v>
      </c>
      <c r="D523" t="s">
        <v>2066</v>
      </c>
      <c r="E523" t="s">
        <v>2080</v>
      </c>
      <c r="F523" t="s">
        <v>2295</v>
      </c>
      <c r="G523" t="s">
        <v>614</v>
      </c>
      <c r="H523" t="s">
        <v>615</v>
      </c>
      <c r="I523">
        <v>99.447513812154696</v>
      </c>
      <c r="J523" t="s">
        <v>2063</v>
      </c>
      <c r="K523">
        <v>44</v>
      </c>
      <c r="L523">
        <v>1</v>
      </c>
      <c r="M523" t="s">
        <v>8</v>
      </c>
      <c r="N523" t="s">
        <v>2038</v>
      </c>
      <c r="O523" t="s">
        <v>10</v>
      </c>
      <c r="P523" t="s">
        <v>2296</v>
      </c>
    </row>
    <row r="524" spans="1:16" hidden="1" x14ac:dyDescent="0.2">
      <c r="A524" t="s">
        <v>1381</v>
      </c>
      <c r="B524">
        <v>1639</v>
      </c>
      <c r="C524" t="s">
        <v>2059</v>
      </c>
      <c r="D524" t="s">
        <v>2066</v>
      </c>
      <c r="E524" t="s">
        <v>2080</v>
      </c>
      <c r="F524" t="s">
        <v>2295</v>
      </c>
      <c r="G524" t="s">
        <v>614</v>
      </c>
      <c r="H524" t="s">
        <v>615</v>
      </c>
      <c r="I524">
        <v>100</v>
      </c>
      <c r="J524" t="s">
        <v>2063</v>
      </c>
      <c r="K524">
        <v>39</v>
      </c>
      <c r="L524">
        <v>1</v>
      </c>
      <c r="M524" t="s">
        <v>8</v>
      </c>
      <c r="N524" t="s">
        <v>2038</v>
      </c>
      <c r="O524" t="s">
        <v>10</v>
      </c>
      <c r="P524" t="s">
        <v>2296</v>
      </c>
    </row>
    <row r="525" spans="1:16" hidden="1" x14ac:dyDescent="0.2">
      <c r="A525" t="s">
        <v>1454</v>
      </c>
      <c r="B525">
        <v>1781</v>
      </c>
      <c r="C525" t="s">
        <v>2059</v>
      </c>
      <c r="D525" t="s">
        <v>2066</v>
      </c>
      <c r="E525" t="s">
        <v>2080</v>
      </c>
      <c r="F525" t="s">
        <v>2295</v>
      </c>
      <c r="G525" t="s">
        <v>614</v>
      </c>
      <c r="H525" t="s">
        <v>615</v>
      </c>
      <c r="I525">
        <v>100</v>
      </c>
      <c r="J525" t="s">
        <v>2063</v>
      </c>
      <c r="K525">
        <v>43</v>
      </c>
      <c r="L525">
        <v>1</v>
      </c>
      <c r="M525" t="s">
        <v>8</v>
      </c>
      <c r="N525" t="s">
        <v>2038</v>
      </c>
      <c r="O525" t="s">
        <v>10</v>
      </c>
      <c r="P525" t="s">
        <v>2296</v>
      </c>
    </row>
    <row r="526" spans="1:16" hidden="1" x14ac:dyDescent="0.2">
      <c r="A526" t="s">
        <v>1543</v>
      </c>
      <c r="B526">
        <v>1892</v>
      </c>
      <c r="C526" t="s">
        <v>2059</v>
      </c>
      <c r="D526" t="s">
        <v>2066</v>
      </c>
      <c r="E526" t="s">
        <v>2080</v>
      </c>
      <c r="F526" t="s">
        <v>1104</v>
      </c>
      <c r="G526" t="s">
        <v>1395</v>
      </c>
      <c r="H526" t="s">
        <v>1545</v>
      </c>
      <c r="I526">
        <v>100</v>
      </c>
      <c r="J526" t="s">
        <v>2063</v>
      </c>
      <c r="K526">
        <v>4</v>
      </c>
      <c r="L526">
        <v>1</v>
      </c>
      <c r="M526" t="s">
        <v>8</v>
      </c>
      <c r="N526" t="s">
        <v>2038</v>
      </c>
      <c r="O526" t="s">
        <v>10</v>
      </c>
      <c r="P526" t="s">
        <v>2566</v>
      </c>
    </row>
    <row r="527" spans="1:16" hidden="1" x14ac:dyDescent="0.2">
      <c r="A527" t="s">
        <v>1829</v>
      </c>
      <c r="B527">
        <v>2258</v>
      </c>
      <c r="C527" t="s">
        <v>2059</v>
      </c>
      <c r="D527" t="s">
        <v>2066</v>
      </c>
      <c r="E527" t="s">
        <v>2080</v>
      </c>
      <c r="F527" t="s">
        <v>1104</v>
      </c>
      <c r="G527" t="s">
        <v>1395</v>
      </c>
      <c r="H527" t="s">
        <v>1545</v>
      </c>
      <c r="I527">
        <v>100</v>
      </c>
      <c r="J527" t="s">
        <v>2063</v>
      </c>
      <c r="K527">
        <v>4</v>
      </c>
      <c r="L527">
        <v>1</v>
      </c>
      <c r="M527" t="s">
        <v>8</v>
      </c>
      <c r="N527" t="s">
        <v>2038</v>
      </c>
      <c r="O527" t="s">
        <v>10</v>
      </c>
      <c r="P527" t="s">
        <v>2566</v>
      </c>
    </row>
    <row r="528" spans="1:16" hidden="1" x14ac:dyDescent="0.2">
      <c r="A528" t="s">
        <v>1394</v>
      </c>
      <c r="B528">
        <v>1661</v>
      </c>
      <c r="C528" t="s">
        <v>2059</v>
      </c>
      <c r="D528" t="s">
        <v>2066</v>
      </c>
      <c r="E528" t="s">
        <v>2080</v>
      </c>
      <c r="F528" t="s">
        <v>1104</v>
      </c>
      <c r="G528" t="s">
        <v>1395</v>
      </c>
      <c r="H528" t="s">
        <v>1396</v>
      </c>
      <c r="I528">
        <v>100</v>
      </c>
      <c r="J528" t="s">
        <v>2063</v>
      </c>
      <c r="K528">
        <v>47</v>
      </c>
      <c r="L528">
        <v>1</v>
      </c>
      <c r="M528" t="s">
        <v>8</v>
      </c>
      <c r="N528" t="s">
        <v>2038</v>
      </c>
      <c r="O528" t="s">
        <v>10</v>
      </c>
      <c r="P528" t="s">
        <v>2531</v>
      </c>
    </row>
    <row r="529" spans="1:16" hidden="1" x14ac:dyDescent="0.2">
      <c r="A529" t="s">
        <v>1840</v>
      </c>
      <c r="B529">
        <v>2263</v>
      </c>
      <c r="C529" t="s">
        <v>2059</v>
      </c>
      <c r="D529" t="s">
        <v>2066</v>
      </c>
      <c r="E529" t="s">
        <v>2080</v>
      </c>
      <c r="F529" t="s">
        <v>1104</v>
      </c>
      <c r="G529" t="s">
        <v>2654</v>
      </c>
      <c r="H529" t="s">
        <v>2655</v>
      </c>
      <c r="I529">
        <v>97.790055248618799</v>
      </c>
      <c r="J529" t="s">
        <v>2063</v>
      </c>
      <c r="K529">
        <v>11</v>
      </c>
      <c r="L529">
        <v>0.47826086956521702</v>
      </c>
      <c r="M529" t="s">
        <v>8</v>
      </c>
      <c r="N529" t="s">
        <v>2038</v>
      </c>
      <c r="O529" t="s">
        <v>10</v>
      </c>
      <c r="P529" t="s">
        <v>2656</v>
      </c>
    </row>
    <row r="530" spans="1:16" hidden="1" x14ac:dyDescent="0.2">
      <c r="A530" t="s">
        <v>1907</v>
      </c>
      <c r="B530">
        <v>2335</v>
      </c>
      <c r="C530" t="s">
        <v>2059</v>
      </c>
      <c r="D530" t="s">
        <v>2066</v>
      </c>
      <c r="E530" t="s">
        <v>2080</v>
      </c>
      <c r="F530" t="s">
        <v>1104</v>
      </c>
      <c r="G530" t="s">
        <v>1908</v>
      </c>
      <c r="H530" t="s">
        <v>2672</v>
      </c>
      <c r="I530">
        <v>99.447513812154696</v>
      </c>
      <c r="J530" t="s">
        <v>2063</v>
      </c>
      <c r="K530">
        <v>40</v>
      </c>
      <c r="L530">
        <v>0.85106382978723405</v>
      </c>
      <c r="M530" t="s">
        <v>8</v>
      </c>
      <c r="N530" t="s">
        <v>2038</v>
      </c>
      <c r="O530" t="s">
        <v>10</v>
      </c>
      <c r="P530" t="s">
        <v>2673</v>
      </c>
    </row>
    <row r="531" spans="1:16" x14ac:dyDescent="0.2">
      <c r="A531" t="s">
        <v>1496</v>
      </c>
      <c r="B531">
        <v>1837</v>
      </c>
      <c r="C531" t="s">
        <v>2059</v>
      </c>
      <c r="D531" t="s">
        <v>2066</v>
      </c>
      <c r="E531" t="s">
        <v>2082</v>
      </c>
      <c r="F531" t="s">
        <v>255</v>
      </c>
      <c r="G531" t="s">
        <v>344</v>
      </c>
      <c r="I531">
        <v>95.5555555555556</v>
      </c>
      <c r="J531" t="s">
        <v>2063</v>
      </c>
      <c r="K531">
        <v>24</v>
      </c>
      <c r="L531">
        <v>0.64864864864864902</v>
      </c>
      <c r="M531" t="s">
        <v>7</v>
      </c>
      <c r="N531" t="s">
        <v>2038</v>
      </c>
      <c r="O531" t="s">
        <v>10</v>
      </c>
    </row>
    <row r="532" spans="1:16" x14ac:dyDescent="0.2">
      <c r="A532" t="s">
        <v>1110</v>
      </c>
      <c r="B532">
        <v>1315</v>
      </c>
      <c r="C532" t="s">
        <v>2059</v>
      </c>
      <c r="D532" t="s">
        <v>2069</v>
      </c>
      <c r="E532" t="s">
        <v>2070</v>
      </c>
      <c r="F532" t="s">
        <v>64</v>
      </c>
      <c r="I532">
        <v>95.580110497237598</v>
      </c>
      <c r="J532" t="s">
        <v>2113</v>
      </c>
      <c r="K532">
        <v>30</v>
      </c>
      <c r="L532">
        <v>1</v>
      </c>
      <c r="M532" t="s">
        <v>2052</v>
      </c>
      <c r="N532" t="s">
        <v>2714</v>
      </c>
      <c r="O532" t="s">
        <v>10</v>
      </c>
    </row>
    <row r="533" spans="1:16" x14ac:dyDescent="0.2">
      <c r="A533" t="s">
        <v>2009</v>
      </c>
      <c r="B533">
        <v>2553</v>
      </c>
      <c r="C533" t="s">
        <v>2059</v>
      </c>
      <c r="D533" t="s">
        <v>2066</v>
      </c>
      <c r="E533" t="s">
        <v>2079</v>
      </c>
      <c r="F533" t="s">
        <v>159</v>
      </c>
      <c r="G533" t="s">
        <v>2371</v>
      </c>
      <c r="I533">
        <v>95.580110497237598</v>
      </c>
      <c r="J533" t="s">
        <v>2113</v>
      </c>
      <c r="K533">
        <v>14</v>
      </c>
      <c r="L533">
        <v>0.48275862068965503</v>
      </c>
      <c r="M533" t="s">
        <v>7</v>
      </c>
      <c r="N533" t="s">
        <v>2714</v>
      </c>
      <c r="O533" t="s">
        <v>10</v>
      </c>
    </row>
    <row r="534" spans="1:16" x14ac:dyDescent="0.2">
      <c r="A534" t="s">
        <v>1940</v>
      </c>
      <c r="B534">
        <v>2400</v>
      </c>
      <c r="C534" t="s">
        <v>2059</v>
      </c>
      <c r="D534" t="s">
        <v>2066</v>
      </c>
      <c r="E534" t="s">
        <v>2079</v>
      </c>
      <c r="F534" t="s">
        <v>80</v>
      </c>
      <c r="G534" t="s">
        <v>2685</v>
      </c>
      <c r="I534">
        <v>95.580110497237598</v>
      </c>
      <c r="J534" t="s">
        <v>2063</v>
      </c>
      <c r="K534">
        <v>1</v>
      </c>
      <c r="L534">
        <v>0.2</v>
      </c>
      <c r="M534" t="s">
        <v>7</v>
      </c>
      <c r="N534" t="s">
        <v>2714</v>
      </c>
      <c r="O534" t="s">
        <v>10</v>
      </c>
    </row>
    <row r="535" spans="1:16" x14ac:dyDescent="0.2">
      <c r="A535" t="s">
        <v>944</v>
      </c>
      <c r="B535">
        <v>1054</v>
      </c>
      <c r="C535" t="s">
        <v>2059</v>
      </c>
      <c r="D535" t="s">
        <v>2066</v>
      </c>
      <c r="E535" t="s">
        <v>2079</v>
      </c>
      <c r="F535" t="s">
        <v>734</v>
      </c>
      <c r="G535" t="s">
        <v>735</v>
      </c>
      <c r="I535">
        <v>95.580110497237598</v>
      </c>
      <c r="J535" t="s">
        <v>2063</v>
      </c>
      <c r="K535">
        <v>24</v>
      </c>
      <c r="L535">
        <v>0.92307692307692302</v>
      </c>
      <c r="M535" t="s">
        <v>7</v>
      </c>
      <c r="N535" t="s">
        <v>2714</v>
      </c>
      <c r="O535" t="s">
        <v>10</v>
      </c>
    </row>
    <row r="536" spans="1:16" x14ac:dyDescent="0.2">
      <c r="A536" t="s">
        <v>1724</v>
      </c>
      <c r="B536">
        <v>2133</v>
      </c>
      <c r="C536" t="s">
        <v>2059</v>
      </c>
      <c r="D536" t="s">
        <v>2066</v>
      </c>
      <c r="E536" t="s">
        <v>2079</v>
      </c>
      <c r="F536" t="s">
        <v>734</v>
      </c>
      <c r="G536" t="s">
        <v>735</v>
      </c>
      <c r="I536">
        <v>95.580110497237598</v>
      </c>
      <c r="J536" t="s">
        <v>2063</v>
      </c>
      <c r="K536">
        <v>10</v>
      </c>
      <c r="L536">
        <v>1</v>
      </c>
      <c r="M536" t="s">
        <v>7</v>
      </c>
      <c r="N536" t="s">
        <v>2714</v>
      </c>
      <c r="O536" t="s">
        <v>10</v>
      </c>
    </row>
    <row r="537" spans="1:16" x14ac:dyDescent="0.2">
      <c r="A537" t="s">
        <v>1827</v>
      </c>
      <c r="B537">
        <v>2253</v>
      </c>
      <c r="C537" t="s">
        <v>2059</v>
      </c>
      <c r="D537" t="s">
        <v>2066</v>
      </c>
      <c r="E537" t="s">
        <v>2079</v>
      </c>
      <c r="F537" t="s">
        <v>734</v>
      </c>
      <c r="G537" t="s">
        <v>1669</v>
      </c>
      <c r="I537">
        <v>95.580110497237598</v>
      </c>
      <c r="J537" t="s">
        <v>2063</v>
      </c>
      <c r="K537">
        <v>23</v>
      </c>
      <c r="L537">
        <v>0.56097560975609795</v>
      </c>
      <c r="M537" t="s">
        <v>7</v>
      </c>
      <c r="N537" t="s">
        <v>2714</v>
      </c>
      <c r="O537" t="s">
        <v>10</v>
      </c>
    </row>
    <row r="538" spans="1:16" x14ac:dyDescent="0.2">
      <c r="A538" t="s">
        <v>1581</v>
      </c>
      <c r="B538">
        <v>1952</v>
      </c>
      <c r="C538" t="s">
        <v>2059</v>
      </c>
      <c r="D538" t="s">
        <v>2066</v>
      </c>
      <c r="E538" t="s">
        <v>2079</v>
      </c>
      <c r="F538" t="s">
        <v>2301</v>
      </c>
      <c r="I538">
        <v>95.580110497237598</v>
      </c>
      <c r="J538" t="s">
        <v>2063</v>
      </c>
      <c r="K538">
        <v>50</v>
      </c>
      <c r="L538">
        <v>1</v>
      </c>
      <c r="M538" t="s">
        <v>2052</v>
      </c>
      <c r="N538" t="s">
        <v>2714</v>
      </c>
      <c r="O538" t="s">
        <v>10</v>
      </c>
    </row>
    <row r="539" spans="1:16" x14ac:dyDescent="0.2">
      <c r="A539" t="s">
        <v>1984</v>
      </c>
      <c r="B539">
        <v>2517</v>
      </c>
      <c r="C539" t="s">
        <v>2059</v>
      </c>
      <c r="D539" t="s">
        <v>2066</v>
      </c>
      <c r="E539" t="s">
        <v>2079</v>
      </c>
      <c r="F539" t="s">
        <v>315</v>
      </c>
      <c r="G539" t="s">
        <v>2706</v>
      </c>
      <c r="I539">
        <v>95.580110497237598</v>
      </c>
      <c r="J539" t="s">
        <v>2063</v>
      </c>
      <c r="K539">
        <v>9</v>
      </c>
      <c r="L539">
        <v>0.9</v>
      </c>
      <c r="M539" t="s">
        <v>7</v>
      </c>
      <c r="N539" t="s">
        <v>2714</v>
      </c>
      <c r="O539" t="s">
        <v>10</v>
      </c>
    </row>
    <row r="540" spans="1:16" x14ac:dyDescent="0.2">
      <c r="A540" t="s">
        <v>1491</v>
      </c>
      <c r="B540">
        <v>1828</v>
      </c>
      <c r="C540" t="s">
        <v>2059</v>
      </c>
      <c r="D540" t="s">
        <v>2066</v>
      </c>
      <c r="E540" t="s">
        <v>2079</v>
      </c>
      <c r="F540" t="s">
        <v>2557</v>
      </c>
      <c r="G540" t="s">
        <v>2558</v>
      </c>
      <c r="I540">
        <v>95.580110497237598</v>
      </c>
      <c r="J540" t="s">
        <v>2113</v>
      </c>
      <c r="K540">
        <v>9</v>
      </c>
      <c r="L540">
        <v>0.47368421052631599</v>
      </c>
      <c r="M540" t="s">
        <v>7</v>
      </c>
      <c r="N540" t="s">
        <v>2714</v>
      </c>
      <c r="O540" t="s">
        <v>10</v>
      </c>
    </row>
    <row r="541" spans="1:16" x14ac:dyDescent="0.2">
      <c r="A541" t="s">
        <v>1468</v>
      </c>
      <c r="B541">
        <v>1805</v>
      </c>
      <c r="C541" t="s">
        <v>2059</v>
      </c>
      <c r="D541" t="s">
        <v>2066</v>
      </c>
      <c r="E541" t="s">
        <v>2082</v>
      </c>
      <c r="F541" t="s">
        <v>241</v>
      </c>
      <c r="G541" t="s">
        <v>495</v>
      </c>
      <c r="I541">
        <v>95.580110497237598</v>
      </c>
      <c r="J541" t="s">
        <v>2063</v>
      </c>
      <c r="K541">
        <v>10</v>
      </c>
      <c r="L541">
        <v>0.28571428571428598</v>
      </c>
      <c r="M541" t="s">
        <v>7</v>
      </c>
      <c r="N541" t="s">
        <v>2714</v>
      </c>
      <c r="O541" t="s">
        <v>10</v>
      </c>
    </row>
    <row r="542" spans="1:16" x14ac:dyDescent="0.2">
      <c r="A542" t="s">
        <v>1428</v>
      </c>
      <c r="B542">
        <v>1725</v>
      </c>
      <c r="C542" t="s">
        <v>2059</v>
      </c>
      <c r="D542" t="s">
        <v>2066</v>
      </c>
      <c r="E542" t="s">
        <v>2082</v>
      </c>
      <c r="F542" t="s">
        <v>675</v>
      </c>
      <c r="G542" t="s">
        <v>676</v>
      </c>
      <c r="I542">
        <v>95.580110497237598</v>
      </c>
      <c r="J542" t="s">
        <v>2063</v>
      </c>
      <c r="K542">
        <v>45</v>
      </c>
      <c r="L542">
        <v>0.97826086956521696</v>
      </c>
      <c r="M542" t="s">
        <v>7</v>
      </c>
      <c r="N542" t="s">
        <v>2714</v>
      </c>
      <c r="O542" t="s">
        <v>10</v>
      </c>
    </row>
    <row r="543" spans="1:16" x14ac:dyDescent="0.2">
      <c r="A543" t="s">
        <v>1228</v>
      </c>
      <c r="B543">
        <v>1475</v>
      </c>
      <c r="C543" t="s">
        <v>2059</v>
      </c>
      <c r="D543" t="s">
        <v>2066</v>
      </c>
      <c r="E543" t="s">
        <v>2079</v>
      </c>
      <c r="I543">
        <v>95.628415300546493</v>
      </c>
      <c r="J543" t="s">
        <v>2063</v>
      </c>
      <c r="K543">
        <v>1</v>
      </c>
      <c r="L543">
        <v>1</v>
      </c>
      <c r="M543" t="s">
        <v>2051</v>
      </c>
      <c r="N543" t="s">
        <v>2714</v>
      </c>
      <c r="O543" t="s">
        <v>10</v>
      </c>
    </row>
    <row r="544" spans="1:16" x14ac:dyDescent="0.2">
      <c r="A544" t="s">
        <v>2677</v>
      </c>
      <c r="B544">
        <v>2356</v>
      </c>
      <c r="C544" t="s">
        <v>2059</v>
      </c>
      <c r="I544">
        <v>95.652173913043498</v>
      </c>
      <c r="J544" t="s">
        <v>2063</v>
      </c>
      <c r="K544">
        <v>1</v>
      </c>
      <c r="L544">
        <v>1</v>
      </c>
      <c r="M544" t="s">
        <v>2049</v>
      </c>
      <c r="N544" t="s">
        <v>2714</v>
      </c>
      <c r="O544" t="s">
        <v>10</v>
      </c>
    </row>
    <row r="545" spans="1:16" x14ac:dyDescent="0.2">
      <c r="A545" t="s">
        <v>2488</v>
      </c>
      <c r="B545">
        <v>1501</v>
      </c>
      <c r="C545" t="s">
        <v>2059</v>
      </c>
      <c r="I545">
        <v>95.675675675675706</v>
      </c>
      <c r="J545" t="s">
        <v>2063</v>
      </c>
      <c r="K545">
        <v>1</v>
      </c>
      <c r="L545">
        <v>1</v>
      </c>
      <c r="M545" t="s">
        <v>2049</v>
      </c>
      <c r="N545" t="s">
        <v>2714</v>
      </c>
      <c r="O545" t="s">
        <v>10</v>
      </c>
    </row>
    <row r="546" spans="1:16" x14ac:dyDescent="0.2">
      <c r="A546" t="s">
        <v>597</v>
      </c>
      <c r="B546">
        <v>606</v>
      </c>
      <c r="C546" t="s">
        <v>2059</v>
      </c>
      <c r="D546" t="s">
        <v>2066</v>
      </c>
      <c r="E546" t="s">
        <v>2067</v>
      </c>
      <c r="F546" t="s">
        <v>2072</v>
      </c>
      <c r="G546" t="s">
        <v>599</v>
      </c>
      <c r="I546">
        <v>95.798319327731093</v>
      </c>
      <c r="J546" t="s">
        <v>2063</v>
      </c>
      <c r="K546">
        <v>5</v>
      </c>
      <c r="L546">
        <v>1</v>
      </c>
      <c r="M546" t="s">
        <v>7</v>
      </c>
      <c r="N546" t="s">
        <v>2714</v>
      </c>
      <c r="O546" t="s">
        <v>10</v>
      </c>
    </row>
    <row r="547" spans="1:16" x14ac:dyDescent="0.2">
      <c r="A547" t="s">
        <v>1437</v>
      </c>
      <c r="B547">
        <v>1746</v>
      </c>
      <c r="C547" t="s">
        <v>2059</v>
      </c>
      <c r="D547" t="s">
        <v>2066</v>
      </c>
      <c r="E547" t="s">
        <v>2082</v>
      </c>
      <c r="F547" t="s">
        <v>241</v>
      </c>
      <c r="G547" t="s">
        <v>935</v>
      </c>
      <c r="I547">
        <v>96</v>
      </c>
      <c r="J547" t="s">
        <v>2063</v>
      </c>
      <c r="K547">
        <v>3</v>
      </c>
      <c r="L547">
        <v>1</v>
      </c>
      <c r="M547" t="s">
        <v>7</v>
      </c>
      <c r="N547" t="s">
        <v>2714</v>
      </c>
      <c r="O547" t="s">
        <v>10</v>
      </c>
    </row>
    <row r="548" spans="1:16" x14ac:dyDescent="0.2">
      <c r="A548" t="s">
        <v>1170</v>
      </c>
      <c r="B548">
        <v>1409</v>
      </c>
      <c r="C548" t="s">
        <v>2059</v>
      </c>
      <c r="D548" t="s">
        <v>2066</v>
      </c>
      <c r="E548" t="s">
        <v>2067</v>
      </c>
      <c r="F548" t="s">
        <v>2134</v>
      </c>
      <c r="I548">
        <v>96.022727272727295</v>
      </c>
      <c r="J548" t="s">
        <v>2063</v>
      </c>
      <c r="K548">
        <v>51</v>
      </c>
      <c r="L548">
        <v>1</v>
      </c>
      <c r="M548" t="s">
        <v>2052</v>
      </c>
      <c r="N548" t="s">
        <v>2714</v>
      </c>
      <c r="O548" t="s">
        <v>10</v>
      </c>
    </row>
    <row r="549" spans="1:16" x14ac:dyDescent="0.2">
      <c r="A549" t="s">
        <v>447</v>
      </c>
      <c r="B549">
        <v>388</v>
      </c>
      <c r="C549" t="s">
        <v>2059</v>
      </c>
      <c r="D549" t="s">
        <v>2066</v>
      </c>
      <c r="E549" t="s">
        <v>2080</v>
      </c>
      <c r="F549" t="s">
        <v>448</v>
      </c>
      <c r="I549">
        <v>96.022727272727295</v>
      </c>
      <c r="J549" t="s">
        <v>2063</v>
      </c>
      <c r="K549">
        <v>50</v>
      </c>
      <c r="L549">
        <v>1</v>
      </c>
      <c r="M549" t="s">
        <v>2052</v>
      </c>
      <c r="N549" t="s">
        <v>2714</v>
      </c>
      <c r="O549" t="s">
        <v>10</v>
      </c>
    </row>
    <row r="550" spans="1:16" x14ac:dyDescent="0.2">
      <c r="A550" t="s">
        <v>1055</v>
      </c>
      <c r="B550">
        <v>1255</v>
      </c>
      <c r="C550" t="s">
        <v>2059</v>
      </c>
      <c r="D550" t="s">
        <v>2066</v>
      </c>
      <c r="E550" t="s">
        <v>2091</v>
      </c>
      <c r="F550" t="s">
        <v>209</v>
      </c>
      <c r="I550">
        <v>96.045197740112997</v>
      </c>
      <c r="J550" t="s">
        <v>2063</v>
      </c>
      <c r="K550">
        <v>48</v>
      </c>
      <c r="L550">
        <v>1</v>
      </c>
      <c r="M550" t="s">
        <v>2052</v>
      </c>
      <c r="N550" t="s">
        <v>2714</v>
      </c>
      <c r="O550" t="s">
        <v>10</v>
      </c>
    </row>
    <row r="551" spans="1:16" x14ac:dyDescent="0.2">
      <c r="A551" t="s">
        <v>867</v>
      </c>
      <c r="B551">
        <v>942</v>
      </c>
      <c r="C551" t="s">
        <v>2059</v>
      </c>
      <c r="D551" t="s">
        <v>2066</v>
      </c>
      <c r="E551" t="s">
        <v>2079</v>
      </c>
      <c r="F551" t="s">
        <v>464</v>
      </c>
      <c r="I551">
        <v>96.045197740112997</v>
      </c>
      <c r="J551" t="s">
        <v>2063</v>
      </c>
      <c r="K551">
        <v>48</v>
      </c>
      <c r="L551">
        <v>1</v>
      </c>
      <c r="M551" t="s">
        <v>2052</v>
      </c>
      <c r="N551" t="s">
        <v>2714</v>
      </c>
      <c r="O551" t="s">
        <v>10</v>
      </c>
    </row>
    <row r="552" spans="1:16" x14ac:dyDescent="0.2">
      <c r="A552" t="s">
        <v>123</v>
      </c>
      <c r="B552">
        <v>70</v>
      </c>
      <c r="C552" t="s">
        <v>2059</v>
      </c>
      <c r="D552" t="s">
        <v>2066</v>
      </c>
      <c r="E552" t="s">
        <v>2090</v>
      </c>
      <c r="F552" t="s">
        <v>46</v>
      </c>
      <c r="I552">
        <v>96.045197740112997</v>
      </c>
      <c r="J552" t="s">
        <v>2063</v>
      </c>
      <c r="K552">
        <v>48</v>
      </c>
      <c r="L552">
        <v>0.97959183673469397</v>
      </c>
      <c r="M552" t="s">
        <v>2052</v>
      </c>
      <c r="N552" t="s">
        <v>2714</v>
      </c>
      <c r="O552" t="s">
        <v>10</v>
      </c>
    </row>
    <row r="553" spans="1:16" x14ac:dyDescent="0.2">
      <c r="A553" t="s">
        <v>1149</v>
      </c>
      <c r="B553">
        <v>1380</v>
      </c>
      <c r="C553" t="s">
        <v>2059</v>
      </c>
      <c r="D553" t="s">
        <v>2069</v>
      </c>
      <c r="E553" t="s">
        <v>2070</v>
      </c>
      <c r="F553" t="s">
        <v>2332</v>
      </c>
      <c r="I553">
        <v>96.067415730337103</v>
      </c>
      <c r="J553" t="s">
        <v>2063</v>
      </c>
      <c r="K553">
        <v>34</v>
      </c>
      <c r="L553">
        <v>1</v>
      </c>
      <c r="M553" t="s">
        <v>2052</v>
      </c>
      <c r="N553" t="s">
        <v>2714</v>
      </c>
      <c r="O553" t="s">
        <v>10</v>
      </c>
    </row>
    <row r="554" spans="1:16" hidden="1" x14ac:dyDescent="0.2">
      <c r="A554" t="s">
        <v>1735</v>
      </c>
      <c r="B554">
        <v>2157</v>
      </c>
      <c r="C554" t="s">
        <v>2059</v>
      </c>
      <c r="D554" t="s">
        <v>2066</v>
      </c>
      <c r="E554" t="s">
        <v>2080</v>
      </c>
      <c r="F554" t="s">
        <v>2193</v>
      </c>
      <c r="G554" t="s">
        <v>368</v>
      </c>
      <c r="H554" t="s">
        <v>369</v>
      </c>
      <c r="I554">
        <v>97.2222222222222</v>
      </c>
      <c r="J554" t="s">
        <v>2063</v>
      </c>
      <c r="K554">
        <v>1</v>
      </c>
      <c r="L554">
        <v>1</v>
      </c>
      <c r="M554" t="s">
        <v>8</v>
      </c>
      <c r="N554" t="s">
        <v>2038</v>
      </c>
      <c r="O554" t="s">
        <v>10</v>
      </c>
      <c r="P554" t="s">
        <v>2623</v>
      </c>
    </row>
    <row r="555" spans="1:16" x14ac:dyDescent="0.2">
      <c r="A555" t="s">
        <v>1452</v>
      </c>
      <c r="B555">
        <v>1779</v>
      </c>
      <c r="C555" t="s">
        <v>2059</v>
      </c>
      <c r="D555" t="s">
        <v>2066</v>
      </c>
      <c r="E555" t="s">
        <v>2090</v>
      </c>
      <c r="F555" t="s">
        <v>46</v>
      </c>
      <c r="G555" t="s">
        <v>1962</v>
      </c>
      <c r="I555">
        <v>96.067415730337103</v>
      </c>
      <c r="J555" t="s">
        <v>2063</v>
      </c>
      <c r="K555">
        <v>1</v>
      </c>
      <c r="L555">
        <v>1</v>
      </c>
      <c r="M555" t="s">
        <v>7</v>
      </c>
      <c r="N555" t="s">
        <v>2714</v>
      </c>
      <c r="O555" t="s">
        <v>10</v>
      </c>
    </row>
    <row r="556" spans="1:16" x14ac:dyDescent="0.2">
      <c r="A556" t="s">
        <v>853</v>
      </c>
      <c r="B556">
        <v>927</v>
      </c>
      <c r="C556" t="s">
        <v>2059</v>
      </c>
      <c r="D556" t="s">
        <v>2066</v>
      </c>
      <c r="E556" t="s">
        <v>2079</v>
      </c>
      <c r="F556" t="s">
        <v>159</v>
      </c>
      <c r="G556" t="s">
        <v>157</v>
      </c>
      <c r="I556">
        <v>96.089385474860293</v>
      </c>
      <c r="J556" t="s">
        <v>2063</v>
      </c>
      <c r="K556">
        <v>4</v>
      </c>
      <c r="L556">
        <v>1</v>
      </c>
      <c r="M556" t="s">
        <v>7</v>
      </c>
      <c r="N556" t="s">
        <v>2714</v>
      </c>
      <c r="O556" t="s">
        <v>10</v>
      </c>
    </row>
    <row r="557" spans="1:16" x14ac:dyDescent="0.2">
      <c r="A557" t="s">
        <v>384</v>
      </c>
      <c r="B557">
        <v>301</v>
      </c>
      <c r="C557" t="s">
        <v>2059</v>
      </c>
      <c r="D557" t="s">
        <v>2060</v>
      </c>
      <c r="E557" t="s">
        <v>2206</v>
      </c>
      <c r="F557" t="s">
        <v>118</v>
      </c>
      <c r="I557">
        <v>96.1111111111111</v>
      </c>
      <c r="J557" t="s">
        <v>2113</v>
      </c>
      <c r="K557">
        <v>18</v>
      </c>
      <c r="L557">
        <v>0.69230769230769196</v>
      </c>
      <c r="M557" t="s">
        <v>2052</v>
      </c>
      <c r="N557" t="s">
        <v>2714</v>
      </c>
      <c r="O557" t="s">
        <v>10</v>
      </c>
    </row>
    <row r="558" spans="1:16" x14ac:dyDescent="0.2">
      <c r="A558" t="s">
        <v>517</v>
      </c>
      <c r="B558">
        <v>500</v>
      </c>
      <c r="C558" t="s">
        <v>2059</v>
      </c>
      <c r="D558" t="s">
        <v>2060</v>
      </c>
      <c r="E558" t="s">
        <v>2206</v>
      </c>
      <c r="F558" t="s">
        <v>118</v>
      </c>
      <c r="I558">
        <v>96.1111111111111</v>
      </c>
      <c r="J558" t="s">
        <v>2113</v>
      </c>
      <c r="K558">
        <v>37</v>
      </c>
      <c r="L558">
        <v>0.75510204081632604</v>
      </c>
      <c r="M558" t="s">
        <v>2052</v>
      </c>
      <c r="N558" t="s">
        <v>2714</v>
      </c>
      <c r="O558" t="s">
        <v>10</v>
      </c>
    </row>
    <row r="559" spans="1:16" hidden="1" x14ac:dyDescent="0.2">
      <c r="A559" t="s">
        <v>894</v>
      </c>
      <c r="B559">
        <v>1000</v>
      </c>
      <c r="C559" t="s">
        <v>2059</v>
      </c>
      <c r="D559" t="s">
        <v>2066</v>
      </c>
      <c r="E559" t="s">
        <v>2080</v>
      </c>
      <c r="F559" t="s">
        <v>2124</v>
      </c>
      <c r="G559" t="s">
        <v>895</v>
      </c>
      <c r="H559" t="s">
        <v>896</v>
      </c>
      <c r="I559">
        <v>100</v>
      </c>
      <c r="J559" t="s">
        <v>2063</v>
      </c>
      <c r="K559">
        <v>36</v>
      </c>
      <c r="L559">
        <v>1</v>
      </c>
      <c r="M559" t="s">
        <v>8</v>
      </c>
      <c r="N559" t="s">
        <v>2038</v>
      </c>
      <c r="O559" t="s">
        <v>10</v>
      </c>
      <c r="P559" t="s">
        <v>2387</v>
      </c>
    </row>
    <row r="560" spans="1:16" hidden="1" x14ac:dyDescent="0.2">
      <c r="A560" t="s">
        <v>1283</v>
      </c>
      <c r="B560">
        <v>1542</v>
      </c>
      <c r="C560" t="s">
        <v>2059</v>
      </c>
      <c r="D560" t="s">
        <v>2066</v>
      </c>
      <c r="E560" t="s">
        <v>2080</v>
      </c>
      <c r="F560" t="s">
        <v>2124</v>
      </c>
      <c r="G560" t="s">
        <v>1284</v>
      </c>
      <c r="H560" t="s">
        <v>1285</v>
      </c>
      <c r="I560">
        <v>100</v>
      </c>
      <c r="J560" t="s">
        <v>2063</v>
      </c>
      <c r="K560">
        <v>41</v>
      </c>
      <c r="L560">
        <v>1</v>
      </c>
      <c r="M560" t="s">
        <v>8</v>
      </c>
      <c r="N560" t="s">
        <v>2038</v>
      </c>
      <c r="O560" t="s">
        <v>10</v>
      </c>
      <c r="P560" t="s">
        <v>2502</v>
      </c>
    </row>
    <row r="561" spans="1:16" hidden="1" x14ac:dyDescent="0.2">
      <c r="A561" t="s">
        <v>808</v>
      </c>
      <c r="B561">
        <v>869</v>
      </c>
      <c r="C561" t="s">
        <v>2059</v>
      </c>
      <c r="D561" t="s">
        <v>2066</v>
      </c>
      <c r="E561" t="s">
        <v>2080</v>
      </c>
      <c r="F561" t="s">
        <v>2124</v>
      </c>
      <c r="G561" t="s">
        <v>809</v>
      </c>
      <c r="H561" t="s">
        <v>810</v>
      </c>
      <c r="I561">
        <v>100</v>
      </c>
      <c r="J561" t="s">
        <v>2063</v>
      </c>
      <c r="K561">
        <v>42</v>
      </c>
      <c r="L561">
        <v>1</v>
      </c>
      <c r="M561" t="s">
        <v>8</v>
      </c>
      <c r="N561" t="s">
        <v>2038</v>
      </c>
      <c r="O561" t="s">
        <v>10</v>
      </c>
      <c r="P561" t="s">
        <v>2356</v>
      </c>
    </row>
    <row r="562" spans="1:16" hidden="1" x14ac:dyDescent="0.2">
      <c r="A562" t="s">
        <v>1402</v>
      </c>
      <c r="B562">
        <v>1674</v>
      </c>
      <c r="C562" t="s">
        <v>2059</v>
      </c>
      <c r="D562" t="s">
        <v>2066</v>
      </c>
      <c r="E562" t="s">
        <v>2080</v>
      </c>
      <c r="F562" t="s">
        <v>2124</v>
      </c>
      <c r="G562" t="s">
        <v>809</v>
      </c>
      <c r="H562" t="s">
        <v>810</v>
      </c>
      <c r="I562">
        <v>99.447513812154696</v>
      </c>
      <c r="J562" t="s">
        <v>2063</v>
      </c>
      <c r="K562">
        <v>42</v>
      </c>
      <c r="L562">
        <v>1</v>
      </c>
      <c r="M562" t="s">
        <v>8</v>
      </c>
      <c r="N562" t="s">
        <v>2038</v>
      </c>
      <c r="O562" t="s">
        <v>10</v>
      </c>
      <c r="P562" t="s">
        <v>2356</v>
      </c>
    </row>
    <row r="563" spans="1:16" hidden="1" x14ac:dyDescent="0.2">
      <c r="A563" t="s">
        <v>1721</v>
      </c>
      <c r="B563">
        <v>2131</v>
      </c>
      <c r="C563" t="s">
        <v>2059</v>
      </c>
      <c r="D563" t="s">
        <v>2066</v>
      </c>
      <c r="E563" t="s">
        <v>2080</v>
      </c>
      <c r="F563" t="s">
        <v>2124</v>
      </c>
      <c r="G563" t="s">
        <v>1722</v>
      </c>
      <c r="H563" t="s">
        <v>1723</v>
      </c>
      <c r="I563">
        <v>100</v>
      </c>
      <c r="J563" t="s">
        <v>2063</v>
      </c>
      <c r="K563">
        <v>32</v>
      </c>
      <c r="L563">
        <v>0.82051282051282004</v>
      </c>
      <c r="M563" t="s">
        <v>8</v>
      </c>
      <c r="N563" t="s">
        <v>2038</v>
      </c>
      <c r="O563" t="s">
        <v>10</v>
      </c>
      <c r="P563" t="s">
        <v>2618</v>
      </c>
    </row>
    <row r="564" spans="1:16" hidden="1" x14ac:dyDescent="0.2">
      <c r="A564" t="s">
        <v>290</v>
      </c>
      <c r="B564">
        <v>203</v>
      </c>
      <c r="C564" t="s">
        <v>2059</v>
      </c>
      <c r="D564" t="s">
        <v>2066</v>
      </c>
      <c r="E564" t="s">
        <v>2080</v>
      </c>
      <c r="F564" t="s">
        <v>2124</v>
      </c>
      <c r="G564" t="s">
        <v>291</v>
      </c>
      <c r="H564" t="s">
        <v>292</v>
      </c>
      <c r="I564">
        <v>100</v>
      </c>
      <c r="J564" t="s">
        <v>2063</v>
      </c>
      <c r="K564">
        <v>13</v>
      </c>
      <c r="L564">
        <v>1</v>
      </c>
      <c r="M564" t="s">
        <v>8</v>
      </c>
      <c r="N564" t="s">
        <v>2038</v>
      </c>
      <c r="O564" t="s">
        <v>10</v>
      </c>
      <c r="P564" t="s">
        <v>2164</v>
      </c>
    </row>
    <row r="565" spans="1:16" hidden="1" x14ac:dyDescent="0.2">
      <c r="A565" t="s">
        <v>742</v>
      </c>
      <c r="B565">
        <v>765</v>
      </c>
      <c r="C565" t="s">
        <v>2059</v>
      </c>
      <c r="D565" t="s">
        <v>2066</v>
      </c>
      <c r="E565" t="s">
        <v>2080</v>
      </c>
      <c r="F565" t="s">
        <v>2124</v>
      </c>
      <c r="G565" t="s">
        <v>291</v>
      </c>
      <c r="H565" t="s">
        <v>292</v>
      </c>
      <c r="I565">
        <v>99.371069182389903</v>
      </c>
      <c r="J565" t="s">
        <v>2063</v>
      </c>
      <c r="K565">
        <v>13</v>
      </c>
      <c r="L565">
        <v>1</v>
      </c>
      <c r="M565" t="s">
        <v>8</v>
      </c>
      <c r="N565" t="s">
        <v>2038</v>
      </c>
      <c r="O565" t="s">
        <v>10</v>
      </c>
      <c r="P565" t="s">
        <v>2164</v>
      </c>
    </row>
    <row r="566" spans="1:16" hidden="1" x14ac:dyDescent="0.2">
      <c r="A566" t="s">
        <v>803</v>
      </c>
      <c r="B566">
        <v>858</v>
      </c>
      <c r="C566" t="s">
        <v>2059</v>
      </c>
      <c r="D566" t="s">
        <v>2066</v>
      </c>
      <c r="E566" t="s">
        <v>2080</v>
      </c>
      <c r="F566" t="s">
        <v>2124</v>
      </c>
      <c r="G566" t="s">
        <v>291</v>
      </c>
      <c r="H566" t="s">
        <v>292</v>
      </c>
      <c r="I566">
        <v>98.895027624309407</v>
      </c>
      <c r="J566" t="s">
        <v>2063</v>
      </c>
      <c r="K566">
        <v>13</v>
      </c>
      <c r="L566">
        <v>1</v>
      </c>
      <c r="M566" t="s">
        <v>8</v>
      </c>
      <c r="N566" t="s">
        <v>2038</v>
      </c>
      <c r="O566" t="s">
        <v>10</v>
      </c>
      <c r="P566" t="s">
        <v>2164</v>
      </c>
    </row>
    <row r="567" spans="1:16" hidden="1" x14ac:dyDescent="0.2">
      <c r="A567" t="s">
        <v>851</v>
      </c>
      <c r="B567">
        <v>922</v>
      </c>
      <c r="C567" t="s">
        <v>2059</v>
      </c>
      <c r="D567" t="s">
        <v>2066</v>
      </c>
      <c r="E567" t="s">
        <v>2080</v>
      </c>
      <c r="F567" t="s">
        <v>2124</v>
      </c>
      <c r="G567" t="s">
        <v>291</v>
      </c>
      <c r="H567" t="s">
        <v>292</v>
      </c>
      <c r="I567">
        <v>98.8888888888889</v>
      </c>
      <c r="J567" t="s">
        <v>2063</v>
      </c>
      <c r="K567">
        <v>13</v>
      </c>
      <c r="L567">
        <v>1</v>
      </c>
      <c r="M567" t="s">
        <v>8</v>
      </c>
      <c r="N567" t="s">
        <v>2038</v>
      </c>
      <c r="O567" t="s">
        <v>10</v>
      </c>
      <c r="P567" t="s">
        <v>2164</v>
      </c>
    </row>
    <row r="568" spans="1:16" hidden="1" x14ac:dyDescent="0.2">
      <c r="A568" t="s">
        <v>960</v>
      </c>
      <c r="B568">
        <v>1074</v>
      </c>
      <c r="C568" t="s">
        <v>2059</v>
      </c>
      <c r="D568" t="s">
        <v>2066</v>
      </c>
      <c r="E568" t="s">
        <v>2080</v>
      </c>
      <c r="F568" t="s">
        <v>2124</v>
      </c>
      <c r="G568" t="s">
        <v>291</v>
      </c>
      <c r="H568" t="s">
        <v>292</v>
      </c>
      <c r="I568">
        <v>100</v>
      </c>
      <c r="J568" t="s">
        <v>2063</v>
      </c>
      <c r="K568">
        <v>7</v>
      </c>
      <c r="L568">
        <v>1</v>
      </c>
      <c r="M568" t="s">
        <v>8</v>
      </c>
      <c r="N568" t="s">
        <v>2038</v>
      </c>
      <c r="O568" t="s">
        <v>10</v>
      </c>
      <c r="P568" t="s">
        <v>2410</v>
      </c>
    </row>
    <row r="569" spans="1:16" hidden="1" x14ac:dyDescent="0.2">
      <c r="A569" t="s">
        <v>1219</v>
      </c>
      <c r="B569">
        <v>1463</v>
      </c>
      <c r="C569" t="s">
        <v>2059</v>
      </c>
      <c r="D569" t="s">
        <v>2066</v>
      </c>
      <c r="E569" t="s">
        <v>2080</v>
      </c>
      <c r="F569" t="s">
        <v>2124</v>
      </c>
      <c r="G569" t="s">
        <v>291</v>
      </c>
      <c r="H569" t="s">
        <v>292</v>
      </c>
      <c r="I569">
        <v>99.212598425196802</v>
      </c>
      <c r="J569" t="s">
        <v>2063</v>
      </c>
      <c r="K569">
        <v>13</v>
      </c>
      <c r="L569">
        <v>1</v>
      </c>
      <c r="M569" t="s">
        <v>8</v>
      </c>
      <c r="N569" t="s">
        <v>2038</v>
      </c>
      <c r="O569" t="s">
        <v>10</v>
      </c>
      <c r="P569" t="s">
        <v>2164</v>
      </c>
    </row>
    <row r="570" spans="1:16" hidden="1" x14ac:dyDescent="0.2">
      <c r="A570" t="s">
        <v>1556</v>
      </c>
      <c r="B570">
        <v>1907</v>
      </c>
      <c r="C570" t="s">
        <v>2059</v>
      </c>
      <c r="D570" t="s">
        <v>2066</v>
      </c>
      <c r="E570" t="s">
        <v>2080</v>
      </c>
      <c r="F570" t="s">
        <v>2124</v>
      </c>
      <c r="G570" t="s">
        <v>291</v>
      </c>
      <c r="H570" t="s">
        <v>292</v>
      </c>
      <c r="I570">
        <v>98.425196850393704</v>
      </c>
      <c r="J570" t="s">
        <v>2063</v>
      </c>
      <c r="K570">
        <v>13</v>
      </c>
      <c r="L570">
        <v>1</v>
      </c>
      <c r="M570" t="s">
        <v>8</v>
      </c>
      <c r="N570" t="s">
        <v>2038</v>
      </c>
      <c r="O570" t="s">
        <v>10</v>
      </c>
      <c r="P570" t="s">
        <v>2164</v>
      </c>
    </row>
    <row r="571" spans="1:16" hidden="1" x14ac:dyDescent="0.2">
      <c r="A571" t="s">
        <v>333</v>
      </c>
      <c r="B571">
        <v>244</v>
      </c>
      <c r="C571" t="s">
        <v>2059</v>
      </c>
      <c r="D571" t="s">
        <v>2066</v>
      </c>
      <c r="E571" t="s">
        <v>2080</v>
      </c>
      <c r="F571" t="s">
        <v>2124</v>
      </c>
      <c r="G571" t="s">
        <v>334</v>
      </c>
      <c r="H571" t="s">
        <v>335</v>
      </c>
      <c r="I571">
        <v>98.3333333333333</v>
      </c>
      <c r="J571" t="s">
        <v>2063</v>
      </c>
      <c r="K571">
        <v>6</v>
      </c>
      <c r="L571">
        <v>1</v>
      </c>
      <c r="M571" t="s">
        <v>8</v>
      </c>
      <c r="N571" t="s">
        <v>2038</v>
      </c>
      <c r="O571" t="s">
        <v>10</v>
      </c>
      <c r="P571" t="s">
        <v>2180</v>
      </c>
    </row>
    <row r="572" spans="1:16" hidden="1" x14ac:dyDescent="0.2">
      <c r="A572" t="s">
        <v>1440</v>
      </c>
      <c r="B572">
        <v>1755</v>
      </c>
      <c r="C572" t="s">
        <v>2059</v>
      </c>
      <c r="D572" t="s">
        <v>2066</v>
      </c>
      <c r="E572" t="s">
        <v>2080</v>
      </c>
      <c r="F572" t="s">
        <v>2124</v>
      </c>
      <c r="G572" t="s">
        <v>334</v>
      </c>
      <c r="H572" t="s">
        <v>335</v>
      </c>
      <c r="I572">
        <v>97.2222222222222</v>
      </c>
      <c r="J572" t="s">
        <v>2063</v>
      </c>
      <c r="K572">
        <v>3</v>
      </c>
      <c r="L572">
        <v>1</v>
      </c>
      <c r="M572" t="s">
        <v>8</v>
      </c>
      <c r="N572" t="s">
        <v>2038</v>
      </c>
      <c r="O572" t="s">
        <v>10</v>
      </c>
      <c r="P572" t="s">
        <v>2541</v>
      </c>
    </row>
    <row r="573" spans="1:16" hidden="1" x14ac:dyDescent="0.2">
      <c r="A573" t="s">
        <v>1453</v>
      </c>
      <c r="B573">
        <v>1780</v>
      </c>
      <c r="C573" t="s">
        <v>2059</v>
      </c>
      <c r="D573" t="s">
        <v>2066</v>
      </c>
      <c r="E573" t="s">
        <v>2080</v>
      </c>
      <c r="F573" t="s">
        <v>2124</v>
      </c>
      <c r="G573" t="s">
        <v>334</v>
      </c>
      <c r="H573" t="s">
        <v>335</v>
      </c>
      <c r="I573">
        <v>98.3333333333333</v>
      </c>
      <c r="J573" t="s">
        <v>2063</v>
      </c>
      <c r="K573">
        <v>7</v>
      </c>
      <c r="L573">
        <v>1</v>
      </c>
      <c r="M573" t="s">
        <v>8</v>
      </c>
      <c r="N573" t="s">
        <v>2038</v>
      </c>
      <c r="O573" t="s">
        <v>10</v>
      </c>
      <c r="P573" t="s">
        <v>2180</v>
      </c>
    </row>
    <row r="574" spans="1:16" hidden="1" x14ac:dyDescent="0.2">
      <c r="A574" t="s">
        <v>1476</v>
      </c>
      <c r="B574">
        <v>1817</v>
      </c>
      <c r="C574" t="s">
        <v>2059</v>
      </c>
      <c r="D574" t="s">
        <v>2066</v>
      </c>
      <c r="E574" t="s">
        <v>2080</v>
      </c>
      <c r="F574" t="s">
        <v>2124</v>
      </c>
      <c r="G574" t="s">
        <v>334</v>
      </c>
      <c r="H574" t="s">
        <v>335</v>
      </c>
      <c r="I574">
        <v>100</v>
      </c>
      <c r="J574" t="s">
        <v>2113</v>
      </c>
      <c r="K574">
        <v>2</v>
      </c>
      <c r="L574">
        <v>1</v>
      </c>
      <c r="M574" t="s">
        <v>8</v>
      </c>
      <c r="N574" t="s">
        <v>2038</v>
      </c>
      <c r="O574" t="s">
        <v>10</v>
      </c>
      <c r="P574" t="s">
        <v>2550</v>
      </c>
    </row>
    <row r="575" spans="1:16" hidden="1" x14ac:dyDescent="0.2">
      <c r="A575" t="s">
        <v>147</v>
      </c>
      <c r="B575">
        <v>80</v>
      </c>
      <c r="C575" t="s">
        <v>2059</v>
      </c>
      <c r="D575" t="s">
        <v>2066</v>
      </c>
      <c r="E575" t="s">
        <v>2080</v>
      </c>
      <c r="F575" t="s">
        <v>2124</v>
      </c>
      <c r="G575" t="s">
        <v>149</v>
      </c>
      <c r="H575" t="s">
        <v>150</v>
      </c>
      <c r="I575">
        <v>100</v>
      </c>
      <c r="J575" t="s">
        <v>2063</v>
      </c>
      <c r="K575">
        <v>28</v>
      </c>
      <c r="L575">
        <v>0.875</v>
      </c>
      <c r="M575" t="s">
        <v>8</v>
      </c>
      <c r="N575" t="s">
        <v>2038</v>
      </c>
      <c r="O575" t="s">
        <v>10</v>
      </c>
      <c r="P575" t="s">
        <v>2125</v>
      </c>
    </row>
    <row r="576" spans="1:16" hidden="1" x14ac:dyDescent="0.2">
      <c r="A576" t="s">
        <v>339</v>
      </c>
      <c r="B576">
        <v>253</v>
      </c>
      <c r="C576" t="s">
        <v>2059</v>
      </c>
      <c r="D576" t="s">
        <v>2066</v>
      </c>
      <c r="E576" t="s">
        <v>2080</v>
      </c>
      <c r="F576" t="s">
        <v>2124</v>
      </c>
      <c r="G576" t="s">
        <v>149</v>
      </c>
      <c r="H576" t="s">
        <v>150</v>
      </c>
      <c r="I576">
        <v>99.447513812154696</v>
      </c>
      <c r="J576" t="s">
        <v>2063</v>
      </c>
      <c r="K576">
        <v>28</v>
      </c>
      <c r="L576">
        <v>0.875</v>
      </c>
      <c r="M576" t="s">
        <v>8</v>
      </c>
      <c r="N576" t="s">
        <v>2038</v>
      </c>
      <c r="O576" t="s">
        <v>10</v>
      </c>
      <c r="P576" t="s">
        <v>2125</v>
      </c>
    </row>
    <row r="577" spans="1:16" hidden="1" x14ac:dyDescent="0.2">
      <c r="A577" t="s">
        <v>509</v>
      </c>
      <c r="B577">
        <v>485</v>
      </c>
      <c r="C577" t="s">
        <v>2059</v>
      </c>
      <c r="D577" t="s">
        <v>2066</v>
      </c>
      <c r="E577" t="s">
        <v>2080</v>
      </c>
      <c r="F577" t="s">
        <v>2124</v>
      </c>
      <c r="G577" t="s">
        <v>149</v>
      </c>
      <c r="H577" t="s">
        <v>150</v>
      </c>
      <c r="I577">
        <v>99.447513812154696</v>
      </c>
      <c r="J577" t="s">
        <v>2063</v>
      </c>
      <c r="K577">
        <v>28</v>
      </c>
      <c r="L577">
        <v>0.875</v>
      </c>
      <c r="M577" t="s">
        <v>8</v>
      </c>
      <c r="N577" t="s">
        <v>2038</v>
      </c>
      <c r="O577" t="s">
        <v>10</v>
      </c>
      <c r="P577" t="s">
        <v>2125</v>
      </c>
    </row>
    <row r="578" spans="1:16" hidden="1" x14ac:dyDescent="0.2">
      <c r="A578" t="s">
        <v>741</v>
      </c>
      <c r="B578">
        <v>761</v>
      </c>
      <c r="C578" t="s">
        <v>2059</v>
      </c>
      <c r="D578" t="s">
        <v>2066</v>
      </c>
      <c r="E578" t="s">
        <v>2080</v>
      </c>
      <c r="F578" t="s">
        <v>2124</v>
      </c>
      <c r="G578" t="s">
        <v>149</v>
      </c>
      <c r="H578" t="s">
        <v>150</v>
      </c>
      <c r="I578">
        <v>98.342541436464103</v>
      </c>
      <c r="J578" t="s">
        <v>2063</v>
      </c>
      <c r="K578">
        <v>28</v>
      </c>
      <c r="L578">
        <v>0.875</v>
      </c>
      <c r="M578" t="s">
        <v>8</v>
      </c>
      <c r="N578" t="s">
        <v>2038</v>
      </c>
      <c r="O578" t="s">
        <v>10</v>
      </c>
      <c r="P578" t="s">
        <v>2125</v>
      </c>
    </row>
    <row r="579" spans="1:16" hidden="1" x14ac:dyDescent="0.2">
      <c r="A579" t="s">
        <v>926</v>
      </c>
      <c r="B579">
        <v>1031</v>
      </c>
      <c r="C579" t="s">
        <v>2059</v>
      </c>
      <c r="D579" t="s">
        <v>2066</v>
      </c>
      <c r="E579" t="s">
        <v>2080</v>
      </c>
      <c r="F579" t="s">
        <v>2124</v>
      </c>
      <c r="G579" t="s">
        <v>149</v>
      </c>
      <c r="H579" t="s">
        <v>150</v>
      </c>
      <c r="I579">
        <v>100</v>
      </c>
      <c r="J579" t="s">
        <v>2063</v>
      </c>
      <c r="K579">
        <v>45</v>
      </c>
      <c r="L579">
        <v>1</v>
      </c>
      <c r="M579" t="s">
        <v>8</v>
      </c>
      <c r="N579" t="s">
        <v>2038</v>
      </c>
      <c r="O579" t="s">
        <v>10</v>
      </c>
      <c r="P579" t="s">
        <v>2399</v>
      </c>
    </row>
    <row r="580" spans="1:16" hidden="1" x14ac:dyDescent="0.2">
      <c r="A580" t="s">
        <v>1047</v>
      </c>
      <c r="B580">
        <v>1233</v>
      </c>
      <c r="C580" t="s">
        <v>2059</v>
      </c>
      <c r="D580" t="s">
        <v>2066</v>
      </c>
      <c r="E580" t="s">
        <v>2080</v>
      </c>
      <c r="F580" t="s">
        <v>2124</v>
      </c>
      <c r="G580" t="s">
        <v>149</v>
      </c>
      <c r="H580" t="s">
        <v>150</v>
      </c>
      <c r="I580">
        <v>97.790055248618799</v>
      </c>
      <c r="J580" t="s">
        <v>2113</v>
      </c>
      <c r="K580">
        <v>11</v>
      </c>
      <c r="L580">
        <v>0.84615384615384603</v>
      </c>
      <c r="M580" t="s">
        <v>8</v>
      </c>
      <c r="N580" t="s">
        <v>2038</v>
      </c>
      <c r="O580" t="s">
        <v>10</v>
      </c>
      <c r="P580" t="s">
        <v>2435</v>
      </c>
    </row>
    <row r="581" spans="1:16" hidden="1" x14ac:dyDescent="0.2">
      <c r="A581" t="s">
        <v>1312</v>
      </c>
      <c r="B581">
        <v>1560</v>
      </c>
      <c r="C581" t="s">
        <v>2059</v>
      </c>
      <c r="D581" t="s">
        <v>2066</v>
      </c>
      <c r="E581" t="s">
        <v>2080</v>
      </c>
      <c r="F581" t="s">
        <v>2124</v>
      </c>
      <c r="G581" t="s">
        <v>149</v>
      </c>
      <c r="H581" t="s">
        <v>150</v>
      </c>
      <c r="I581">
        <v>97.790055248618799</v>
      </c>
      <c r="J581" t="s">
        <v>2113</v>
      </c>
      <c r="K581">
        <v>20</v>
      </c>
      <c r="L581">
        <v>0.90909090909090895</v>
      </c>
      <c r="M581" t="s">
        <v>8</v>
      </c>
      <c r="N581" t="s">
        <v>2038</v>
      </c>
      <c r="O581" t="s">
        <v>10</v>
      </c>
      <c r="P581" t="s">
        <v>2511</v>
      </c>
    </row>
    <row r="582" spans="1:16" hidden="1" x14ac:dyDescent="0.2">
      <c r="A582" t="s">
        <v>2011</v>
      </c>
      <c r="B582">
        <v>2558</v>
      </c>
      <c r="C582" t="s">
        <v>2059</v>
      </c>
      <c r="D582" t="s">
        <v>2066</v>
      </c>
      <c r="E582" t="s">
        <v>2080</v>
      </c>
      <c r="F582" t="s">
        <v>2124</v>
      </c>
      <c r="G582" t="s">
        <v>149</v>
      </c>
      <c r="H582" t="s">
        <v>150</v>
      </c>
      <c r="I582">
        <v>97.159090909090907</v>
      </c>
      <c r="J582" t="s">
        <v>2063</v>
      </c>
      <c r="K582">
        <v>3</v>
      </c>
      <c r="L582">
        <v>1</v>
      </c>
      <c r="M582" t="s">
        <v>8</v>
      </c>
      <c r="N582" t="s">
        <v>2038</v>
      </c>
      <c r="O582" t="s">
        <v>10</v>
      </c>
      <c r="P582" t="s">
        <v>2125</v>
      </c>
    </row>
    <row r="583" spans="1:16" hidden="1" x14ac:dyDescent="0.2">
      <c r="A583" t="s">
        <v>178</v>
      </c>
      <c r="B583">
        <v>124</v>
      </c>
      <c r="C583" t="s">
        <v>2059</v>
      </c>
      <c r="D583" t="s">
        <v>2066</v>
      </c>
      <c r="E583" t="s">
        <v>2080</v>
      </c>
      <c r="F583" t="s">
        <v>2124</v>
      </c>
      <c r="G583" t="s">
        <v>149</v>
      </c>
      <c r="H583" t="s">
        <v>180</v>
      </c>
      <c r="I583">
        <v>100</v>
      </c>
      <c r="J583" t="s">
        <v>2063</v>
      </c>
      <c r="K583">
        <v>38</v>
      </c>
      <c r="L583">
        <v>0.86363636363636398</v>
      </c>
      <c r="M583" t="s">
        <v>8</v>
      </c>
      <c r="N583" t="s">
        <v>2038</v>
      </c>
      <c r="O583" t="s">
        <v>10</v>
      </c>
      <c r="P583" t="s">
        <v>2142</v>
      </c>
    </row>
    <row r="584" spans="1:16" hidden="1" x14ac:dyDescent="0.2">
      <c r="A584" t="s">
        <v>883</v>
      </c>
      <c r="B584">
        <v>957</v>
      </c>
      <c r="C584" t="s">
        <v>2059</v>
      </c>
      <c r="D584" t="s">
        <v>2066</v>
      </c>
      <c r="E584" t="s">
        <v>2080</v>
      </c>
      <c r="F584" t="s">
        <v>2124</v>
      </c>
      <c r="G584" t="s">
        <v>149</v>
      </c>
      <c r="H584" t="s">
        <v>180</v>
      </c>
      <c r="I584">
        <v>98.3333333333333</v>
      </c>
      <c r="J584" t="s">
        <v>2063</v>
      </c>
      <c r="K584">
        <v>37</v>
      </c>
      <c r="L584">
        <v>0.88095238095238104</v>
      </c>
      <c r="M584" t="s">
        <v>8</v>
      </c>
      <c r="N584" t="s">
        <v>2038</v>
      </c>
      <c r="O584" t="s">
        <v>10</v>
      </c>
      <c r="P584" t="s">
        <v>2142</v>
      </c>
    </row>
    <row r="585" spans="1:16" hidden="1" x14ac:dyDescent="0.2">
      <c r="A585" t="s">
        <v>1398</v>
      </c>
      <c r="B585">
        <v>1669</v>
      </c>
      <c r="C585" t="s">
        <v>2059</v>
      </c>
      <c r="D585" t="s">
        <v>2066</v>
      </c>
      <c r="E585" t="s">
        <v>2080</v>
      </c>
      <c r="F585" t="s">
        <v>2124</v>
      </c>
      <c r="G585" t="s">
        <v>149</v>
      </c>
      <c r="H585" t="s">
        <v>180</v>
      </c>
      <c r="I585">
        <v>98.895027624309407</v>
      </c>
      <c r="J585" t="s">
        <v>2063</v>
      </c>
      <c r="K585">
        <v>38</v>
      </c>
      <c r="L585">
        <v>0.88372093023255804</v>
      </c>
      <c r="M585" t="s">
        <v>8</v>
      </c>
      <c r="N585" t="s">
        <v>2038</v>
      </c>
      <c r="O585" t="s">
        <v>10</v>
      </c>
      <c r="P585" t="s">
        <v>2142</v>
      </c>
    </row>
    <row r="586" spans="1:16" hidden="1" x14ac:dyDescent="0.2">
      <c r="A586" t="s">
        <v>704</v>
      </c>
      <c r="B586">
        <v>711</v>
      </c>
      <c r="C586" t="s">
        <v>2059</v>
      </c>
      <c r="D586" t="s">
        <v>2066</v>
      </c>
      <c r="E586" t="s">
        <v>2080</v>
      </c>
      <c r="F586" t="s">
        <v>2124</v>
      </c>
      <c r="G586" t="s">
        <v>149</v>
      </c>
      <c r="I586">
        <v>95.744680851063805</v>
      </c>
      <c r="J586" t="s">
        <v>2063</v>
      </c>
      <c r="K586">
        <v>5</v>
      </c>
      <c r="L586">
        <v>1</v>
      </c>
      <c r="M586" t="s">
        <v>7</v>
      </c>
      <c r="N586" t="s">
        <v>2038</v>
      </c>
      <c r="O586" t="s">
        <v>10</v>
      </c>
    </row>
    <row r="587" spans="1:16" hidden="1" x14ac:dyDescent="0.2">
      <c r="A587" t="s">
        <v>1241</v>
      </c>
      <c r="B587">
        <v>1492</v>
      </c>
      <c r="C587" t="s">
        <v>2059</v>
      </c>
      <c r="D587" t="s">
        <v>2066</v>
      </c>
      <c r="E587" t="s">
        <v>2080</v>
      </c>
      <c r="F587" t="s">
        <v>2124</v>
      </c>
      <c r="G587" t="s">
        <v>149</v>
      </c>
      <c r="I587">
        <v>95.035460992907801</v>
      </c>
      <c r="J587" t="s">
        <v>2063</v>
      </c>
      <c r="K587">
        <v>2</v>
      </c>
      <c r="L587">
        <v>1</v>
      </c>
      <c r="M587" t="s">
        <v>7</v>
      </c>
      <c r="N587" t="s">
        <v>2038</v>
      </c>
      <c r="O587" t="s">
        <v>10</v>
      </c>
    </row>
    <row r="588" spans="1:16" x14ac:dyDescent="0.2">
      <c r="A588" t="s">
        <v>617</v>
      </c>
      <c r="B588">
        <v>622</v>
      </c>
      <c r="C588" t="s">
        <v>2059</v>
      </c>
      <c r="D588" t="s">
        <v>2066</v>
      </c>
      <c r="E588" t="s">
        <v>2079</v>
      </c>
      <c r="F588" t="s">
        <v>79</v>
      </c>
      <c r="G588" t="s">
        <v>2103</v>
      </c>
      <c r="I588">
        <v>96.1111111111111</v>
      </c>
      <c r="J588" t="s">
        <v>2063</v>
      </c>
      <c r="K588">
        <v>40</v>
      </c>
      <c r="L588">
        <v>1</v>
      </c>
      <c r="M588" t="s">
        <v>7</v>
      </c>
      <c r="N588" t="s">
        <v>2714</v>
      </c>
      <c r="O588" t="s">
        <v>10</v>
      </c>
    </row>
    <row r="589" spans="1:16" hidden="1" x14ac:dyDescent="0.2">
      <c r="A589" t="s">
        <v>1268</v>
      </c>
      <c r="B589">
        <v>1530</v>
      </c>
      <c r="C589" t="s">
        <v>2059</v>
      </c>
      <c r="D589" t="s">
        <v>2066</v>
      </c>
      <c r="E589" t="s">
        <v>2080</v>
      </c>
      <c r="F589" t="s">
        <v>283</v>
      </c>
      <c r="G589" t="s">
        <v>1270</v>
      </c>
      <c r="H589" t="s">
        <v>1271</v>
      </c>
      <c r="I589">
        <v>98.3333333333333</v>
      </c>
      <c r="J589" t="s">
        <v>2063</v>
      </c>
      <c r="K589">
        <v>5</v>
      </c>
      <c r="L589">
        <v>1</v>
      </c>
      <c r="M589" t="s">
        <v>8</v>
      </c>
      <c r="N589" t="s">
        <v>2037</v>
      </c>
      <c r="O589" t="s">
        <v>10</v>
      </c>
      <c r="P589" t="s">
        <v>2496</v>
      </c>
    </row>
    <row r="590" spans="1:16" hidden="1" x14ac:dyDescent="0.2">
      <c r="A590" t="s">
        <v>1793</v>
      </c>
      <c r="B590">
        <v>2207</v>
      </c>
      <c r="C590" t="s">
        <v>2059</v>
      </c>
      <c r="D590" t="s">
        <v>2066</v>
      </c>
      <c r="E590" t="s">
        <v>2080</v>
      </c>
      <c r="F590" t="s">
        <v>283</v>
      </c>
      <c r="G590" t="s">
        <v>2641</v>
      </c>
      <c r="H590" t="s">
        <v>2642</v>
      </c>
      <c r="I590">
        <v>100</v>
      </c>
      <c r="J590" t="s">
        <v>2063</v>
      </c>
      <c r="K590">
        <v>8</v>
      </c>
      <c r="L590">
        <v>1</v>
      </c>
      <c r="M590" t="s">
        <v>8</v>
      </c>
      <c r="N590" t="s">
        <v>2038</v>
      </c>
      <c r="O590" t="s">
        <v>10</v>
      </c>
      <c r="P590" t="s">
        <v>2643</v>
      </c>
    </row>
    <row r="591" spans="1:16" hidden="1" x14ac:dyDescent="0.2">
      <c r="A591" t="s">
        <v>1595</v>
      </c>
      <c r="B591">
        <v>1963</v>
      </c>
      <c r="C591" t="s">
        <v>2059</v>
      </c>
      <c r="D591" t="s">
        <v>2066</v>
      </c>
      <c r="E591" t="s">
        <v>2080</v>
      </c>
      <c r="F591" t="s">
        <v>283</v>
      </c>
      <c r="G591" t="s">
        <v>1596</v>
      </c>
      <c r="H591" t="s">
        <v>2583</v>
      </c>
      <c r="I591">
        <v>98.342541436464103</v>
      </c>
      <c r="J591" t="s">
        <v>2063</v>
      </c>
      <c r="K591">
        <v>16</v>
      </c>
      <c r="L591">
        <v>1</v>
      </c>
      <c r="M591" t="s">
        <v>8</v>
      </c>
      <c r="N591" t="s">
        <v>2038</v>
      </c>
      <c r="O591" t="s">
        <v>10</v>
      </c>
      <c r="P591" t="s">
        <v>2584</v>
      </c>
    </row>
    <row r="592" spans="1:16" x14ac:dyDescent="0.2">
      <c r="A592" t="s">
        <v>156</v>
      </c>
      <c r="B592">
        <v>89</v>
      </c>
      <c r="C592" t="s">
        <v>2059</v>
      </c>
      <c r="D592" t="s">
        <v>2066</v>
      </c>
      <c r="E592" t="s">
        <v>2079</v>
      </c>
      <c r="F592" t="s">
        <v>159</v>
      </c>
      <c r="G592" t="s">
        <v>157</v>
      </c>
      <c r="I592">
        <v>96.1111111111111</v>
      </c>
      <c r="J592" t="s">
        <v>2063</v>
      </c>
      <c r="K592">
        <v>4</v>
      </c>
      <c r="L592">
        <v>1</v>
      </c>
      <c r="M592" t="s">
        <v>7</v>
      </c>
      <c r="N592" t="s">
        <v>2714</v>
      </c>
      <c r="O592" t="s">
        <v>10</v>
      </c>
    </row>
    <row r="593" spans="1:16" x14ac:dyDescent="0.2">
      <c r="A593" t="s">
        <v>1495</v>
      </c>
      <c r="B593">
        <v>1836</v>
      </c>
      <c r="C593" t="s">
        <v>2059</v>
      </c>
      <c r="D593" t="s">
        <v>2066</v>
      </c>
      <c r="E593" t="s">
        <v>2079</v>
      </c>
      <c r="F593" t="s">
        <v>177</v>
      </c>
      <c r="G593" t="s">
        <v>445</v>
      </c>
      <c r="I593">
        <v>96.1111111111111</v>
      </c>
      <c r="J593" t="s">
        <v>2113</v>
      </c>
      <c r="K593">
        <v>44</v>
      </c>
      <c r="L593">
        <v>1</v>
      </c>
      <c r="M593" t="s">
        <v>7</v>
      </c>
      <c r="N593" t="s">
        <v>2714</v>
      </c>
      <c r="O593" t="s">
        <v>10</v>
      </c>
    </row>
    <row r="594" spans="1:16" hidden="1" x14ac:dyDescent="0.2">
      <c r="A594" t="s">
        <v>1981</v>
      </c>
      <c r="B594">
        <v>2516</v>
      </c>
      <c r="C594" t="s">
        <v>2059</v>
      </c>
      <c r="D594" t="s">
        <v>2066</v>
      </c>
      <c r="E594" t="s">
        <v>2080</v>
      </c>
      <c r="F594" t="s">
        <v>2507</v>
      </c>
      <c r="G594" t="s">
        <v>1304</v>
      </c>
      <c r="H594" t="s">
        <v>2704</v>
      </c>
      <c r="I594">
        <v>97.159090909090907</v>
      </c>
      <c r="J594" t="s">
        <v>2063</v>
      </c>
      <c r="K594">
        <v>7</v>
      </c>
      <c r="L594">
        <v>0.46666666666666701</v>
      </c>
      <c r="M594" t="s">
        <v>8</v>
      </c>
      <c r="N594" t="s">
        <v>2037</v>
      </c>
      <c r="O594" t="s">
        <v>10</v>
      </c>
      <c r="P594" t="s">
        <v>2705</v>
      </c>
    </row>
    <row r="595" spans="1:16" hidden="1" x14ac:dyDescent="0.2">
      <c r="A595" t="s">
        <v>1302</v>
      </c>
      <c r="B595">
        <v>1553</v>
      </c>
      <c r="C595" t="s">
        <v>2059</v>
      </c>
      <c r="D595" t="s">
        <v>2066</v>
      </c>
      <c r="E595" t="s">
        <v>2080</v>
      </c>
      <c r="F595" t="s">
        <v>2507</v>
      </c>
      <c r="G595" t="s">
        <v>1304</v>
      </c>
      <c r="H595" t="s">
        <v>1305</v>
      </c>
      <c r="I595">
        <v>98.342541436464103</v>
      </c>
      <c r="J595" t="s">
        <v>2063</v>
      </c>
      <c r="K595">
        <v>17</v>
      </c>
      <c r="L595">
        <v>0.56666666666666698</v>
      </c>
      <c r="M595" t="s">
        <v>8</v>
      </c>
      <c r="N595" t="s">
        <v>2037</v>
      </c>
      <c r="O595" t="s">
        <v>10</v>
      </c>
      <c r="P595" t="s">
        <v>2508</v>
      </c>
    </row>
    <row r="596" spans="1:16" hidden="1" x14ac:dyDescent="0.2">
      <c r="A596" t="s">
        <v>1630</v>
      </c>
      <c r="B596">
        <v>1995</v>
      </c>
      <c r="C596" t="s">
        <v>2059</v>
      </c>
      <c r="D596" t="s">
        <v>2066</v>
      </c>
      <c r="E596" t="s">
        <v>2080</v>
      </c>
      <c r="F596" t="s">
        <v>2507</v>
      </c>
      <c r="G596" t="s">
        <v>1304</v>
      </c>
      <c r="H596" t="s">
        <v>1305</v>
      </c>
      <c r="I596">
        <v>97.790055248618799</v>
      </c>
      <c r="J596" t="s">
        <v>2063</v>
      </c>
      <c r="K596">
        <v>14</v>
      </c>
      <c r="L596">
        <v>0.41176470588235298</v>
      </c>
      <c r="M596" t="s">
        <v>8</v>
      </c>
      <c r="N596" t="s">
        <v>2037</v>
      </c>
      <c r="O596" t="s">
        <v>10</v>
      </c>
      <c r="P596" t="s">
        <v>2508</v>
      </c>
    </row>
    <row r="597" spans="1:16" hidden="1" x14ac:dyDescent="0.2">
      <c r="A597" t="s">
        <v>1769</v>
      </c>
      <c r="B597">
        <v>2181</v>
      </c>
      <c r="C597" t="s">
        <v>2059</v>
      </c>
      <c r="D597" t="s">
        <v>2066</v>
      </c>
      <c r="E597" t="s">
        <v>2080</v>
      </c>
      <c r="F597" t="s">
        <v>2507</v>
      </c>
      <c r="G597" t="s">
        <v>1304</v>
      </c>
      <c r="H597" t="s">
        <v>1305</v>
      </c>
      <c r="I597">
        <v>97.790055248618799</v>
      </c>
      <c r="J597" t="s">
        <v>2063</v>
      </c>
      <c r="K597">
        <v>17</v>
      </c>
      <c r="L597">
        <v>0.56666666666666698</v>
      </c>
      <c r="M597" t="s">
        <v>8</v>
      </c>
      <c r="N597" t="s">
        <v>2037</v>
      </c>
      <c r="O597" t="s">
        <v>10</v>
      </c>
      <c r="P597" t="s">
        <v>2508</v>
      </c>
    </row>
    <row r="598" spans="1:16" hidden="1" x14ac:dyDescent="0.2">
      <c r="A598" t="s">
        <v>2035</v>
      </c>
      <c r="B598">
        <v>2602</v>
      </c>
      <c r="C598" t="s">
        <v>2059</v>
      </c>
      <c r="D598" t="s">
        <v>2066</v>
      </c>
      <c r="E598" t="s">
        <v>2080</v>
      </c>
      <c r="F598" t="s">
        <v>2507</v>
      </c>
      <c r="G598" t="s">
        <v>1304</v>
      </c>
      <c r="H598" t="s">
        <v>1305</v>
      </c>
      <c r="I598">
        <v>97.237569060773495</v>
      </c>
      <c r="J598" t="s">
        <v>2063</v>
      </c>
      <c r="K598">
        <v>15</v>
      </c>
      <c r="L598">
        <v>0.625</v>
      </c>
      <c r="M598" t="s">
        <v>8</v>
      </c>
      <c r="N598" t="s">
        <v>2037</v>
      </c>
      <c r="O598" t="s">
        <v>10</v>
      </c>
      <c r="P598" t="s">
        <v>2508</v>
      </c>
    </row>
    <row r="599" spans="1:16" x14ac:dyDescent="0.2">
      <c r="A599" t="s">
        <v>1850</v>
      </c>
      <c r="B599">
        <v>2272</v>
      </c>
      <c r="C599" t="s">
        <v>2059</v>
      </c>
      <c r="D599" t="s">
        <v>2066</v>
      </c>
      <c r="E599" t="s">
        <v>2079</v>
      </c>
      <c r="F599" t="s">
        <v>80</v>
      </c>
      <c r="G599" t="s">
        <v>2659</v>
      </c>
      <c r="I599">
        <v>96.1111111111111</v>
      </c>
      <c r="J599" t="s">
        <v>2063</v>
      </c>
      <c r="K599">
        <v>1</v>
      </c>
      <c r="L599">
        <v>1</v>
      </c>
      <c r="M599" t="s">
        <v>7</v>
      </c>
      <c r="N599" t="s">
        <v>2714</v>
      </c>
      <c r="O599" t="s">
        <v>10</v>
      </c>
    </row>
    <row r="600" spans="1:16" x14ac:dyDescent="0.2">
      <c r="A600" t="s">
        <v>1127</v>
      </c>
      <c r="B600">
        <v>1339</v>
      </c>
      <c r="C600" t="s">
        <v>2059</v>
      </c>
      <c r="D600" t="s">
        <v>2066</v>
      </c>
      <c r="E600" t="s">
        <v>2079</v>
      </c>
      <c r="F600" t="s">
        <v>2298</v>
      </c>
      <c r="G600" t="s">
        <v>2461</v>
      </c>
      <c r="I600">
        <v>96.1111111111111</v>
      </c>
      <c r="J600" t="s">
        <v>2063</v>
      </c>
      <c r="K600">
        <v>49</v>
      </c>
      <c r="L600">
        <v>1</v>
      </c>
      <c r="M600" t="s">
        <v>7</v>
      </c>
      <c r="N600" t="s">
        <v>2714</v>
      </c>
      <c r="O600" t="s">
        <v>10</v>
      </c>
    </row>
    <row r="601" spans="1:16" x14ac:dyDescent="0.2">
      <c r="A601" t="s">
        <v>1698</v>
      </c>
      <c r="B601">
        <v>2107</v>
      </c>
      <c r="C601" t="s">
        <v>2059</v>
      </c>
      <c r="D601" t="s">
        <v>2069</v>
      </c>
      <c r="E601" t="s">
        <v>2070</v>
      </c>
      <c r="F601" t="s">
        <v>2447</v>
      </c>
      <c r="I601">
        <v>96.132596685082902</v>
      </c>
      <c r="J601" t="s">
        <v>2063</v>
      </c>
      <c r="K601">
        <v>12</v>
      </c>
      <c r="L601">
        <v>1</v>
      </c>
      <c r="M601" t="s">
        <v>2052</v>
      </c>
      <c r="N601" t="s">
        <v>2714</v>
      </c>
      <c r="O601" t="s">
        <v>10</v>
      </c>
    </row>
    <row r="602" spans="1:16" x14ac:dyDescent="0.2">
      <c r="A602" t="s">
        <v>507</v>
      </c>
      <c r="B602">
        <v>483</v>
      </c>
      <c r="C602" t="s">
        <v>2059</v>
      </c>
      <c r="D602" t="s">
        <v>2060</v>
      </c>
      <c r="E602" t="s">
        <v>2206</v>
      </c>
      <c r="F602" t="s">
        <v>118</v>
      </c>
      <c r="I602">
        <v>96.132596685082902</v>
      </c>
      <c r="J602" t="s">
        <v>2113</v>
      </c>
      <c r="K602">
        <v>42</v>
      </c>
      <c r="L602">
        <v>0.85714285714285698</v>
      </c>
      <c r="M602" t="s">
        <v>2052</v>
      </c>
      <c r="N602" t="s">
        <v>2714</v>
      </c>
      <c r="O602" t="s">
        <v>10</v>
      </c>
    </row>
    <row r="603" spans="1:16" x14ac:dyDescent="0.2">
      <c r="A603" t="s">
        <v>458</v>
      </c>
      <c r="B603">
        <v>406</v>
      </c>
      <c r="C603" t="s">
        <v>2059</v>
      </c>
      <c r="D603" t="s">
        <v>2066</v>
      </c>
      <c r="E603" t="s">
        <v>2079</v>
      </c>
      <c r="F603" t="s">
        <v>734</v>
      </c>
      <c r="G603" t="s">
        <v>735</v>
      </c>
      <c r="I603">
        <v>96.132596685082902</v>
      </c>
      <c r="J603" t="s">
        <v>2063</v>
      </c>
      <c r="K603">
        <v>7</v>
      </c>
      <c r="L603">
        <v>0.63636363636363602</v>
      </c>
      <c r="M603" t="s">
        <v>7</v>
      </c>
      <c r="N603" t="s">
        <v>2714</v>
      </c>
      <c r="O603" t="s">
        <v>10</v>
      </c>
    </row>
    <row r="604" spans="1:16" x14ac:dyDescent="0.2">
      <c r="A604" t="s">
        <v>1667</v>
      </c>
      <c r="B604">
        <v>2054</v>
      </c>
      <c r="C604" t="s">
        <v>2059</v>
      </c>
      <c r="D604" t="s">
        <v>2066</v>
      </c>
      <c r="E604" t="s">
        <v>2079</v>
      </c>
      <c r="F604" t="s">
        <v>734</v>
      </c>
      <c r="G604" t="s">
        <v>1669</v>
      </c>
      <c r="I604">
        <v>96.132596685082902</v>
      </c>
      <c r="J604" t="s">
        <v>2063</v>
      </c>
      <c r="K604">
        <v>38</v>
      </c>
      <c r="L604">
        <v>1</v>
      </c>
      <c r="M604" t="s">
        <v>7</v>
      </c>
      <c r="N604" t="s">
        <v>2714</v>
      </c>
      <c r="O604" t="s">
        <v>10</v>
      </c>
    </row>
    <row r="605" spans="1:16" x14ac:dyDescent="0.2">
      <c r="A605" t="s">
        <v>1562</v>
      </c>
      <c r="B605">
        <v>1916</v>
      </c>
      <c r="C605" t="s">
        <v>2059</v>
      </c>
      <c r="D605" t="s">
        <v>2066</v>
      </c>
      <c r="E605" t="s">
        <v>2080</v>
      </c>
      <c r="F605" t="s">
        <v>2402</v>
      </c>
      <c r="G605" t="s">
        <v>1564</v>
      </c>
      <c r="I605">
        <v>96.132596685082902</v>
      </c>
      <c r="J605" t="s">
        <v>2063</v>
      </c>
      <c r="K605">
        <v>10</v>
      </c>
      <c r="L605">
        <v>1</v>
      </c>
      <c r="M605" t="s">
        <v>7</v>
      </c>
      <c r="N605" t="s">
        <v>2714</v>
      </c>
      <c r="O605" t="s">
        <v>10</v>
      </c>
    </row>
    <row r="606" spans="1:16" x14ac:dyDescent="0.2">
      <c r="A606" t="s">
        <v>1103</v>
      </c>
      <c r="B606">
        <v>1303</v>
      </c>
      <c r="C606" t="s">
        <v>2059</v>
      </c>
      <c r="D606" t="s">
        <v>2066</v>
      </c>
      <c r="E606" t="s">
        <v>2080</v>
      </c>
      <c r="F606" t="s">
        <v>1104</v>
      </c>
      <c r="G606" t="s">
        <v>2455</v>
      </c>
      <c r="I606">
        <v>96.132596685082902</v>
      </c>
      <c r="J606" t="s">
        <v>2063</v>
      </c>
      <c r="K606">
        <v>12</v>
      </c>
      <c r="L606">
        <v>1</v>
      </c>
      <c r="M606" t="s">
        <v>7</v>
      </c>
      <c r="N606" t="s">
        <v>2714</v>
      </c>
      <c r="O606" t="s">
        <v>2040</v>
      </c>
    </row>
    <row r="607" spans="1:16" x14ac:dyDescent="0.2">
      <c r="A607" t="s">
        <v>1522</v>
      </c>
      <c r="B607">
        <v>1877</v>
      </c>
      <c r="C607" t="s">
        <v>2059</v>
      </c>
      <c r="D607" t="s">
        <v>2066</v>
      </c>
      <c r="E607" t="s">
        <v>2082</v>
      </c>
      <c r="F607" t="s">
        <v>241</v>
      </c>
      <c r="G607" t="s">
        <v>2326</v>
      </c>
      <c r="I607">
        <v>96.132596685082902</v>
      </c>
      <c r="J607" t="s">
        <v>2063</v>
      </c>
      <c r="K607">
        <v>10</v>
      </c>
      <c r="L607">
        <v>0.27777777777777801</v>
      </c>
      <c r="M607" t="s">
        <v>7</v>
      </c>
      <c r="N607" t="s">
        <v>2038</v>
      </c>
      <c r="O607" t="s">
        <v>10</v>
      </c>
    </row>
    <row r="608" spans="1:16" x14ac:dyDescent="0.2">
      <c r="A608" t="s">
        <v>1058</v>
      </c>
      <c r="B608">
        <v>1263</v>
      </c>
      <c r="C608" t="s">
        <v>2059</v>
      </c>
      <c r="D608" t="s">
        <v>2066</v>
      </c>
      <c r="E608" t="s">
        <v>2082</v>
      </c>
      <c r="F608" t="s">
        <v>255</v>
      </c>
      <c r="G608" t="s">
        <v>2441</v>
      </c>
      <c r="I608">
        <v>96.132596685082902</v>
      </c>
      <c r="J608" t="s">
        <v>2063</v>
      </c>
      <c r="K608">
        <v>12</v>
      </c>
      <c r="L608">
        <v>0.27272727272727298</v>
      </c>
      <c r="M608" t="s">
        <v>7</v>
      </c>
      <c r="N608" t="s">
        <v>2038</v>
      </c>
      <c r="O608" t="s">
        <v>10</v>
      </c>
    </row>
    <row r="609" spans="1:16" x14ac:dyDescent="0.2">
      <c r="A609" t="s">
        <v>673</v>
      </c>
      <c r="B609">
        <v>681</v>
      </c>
      <c r="C609" t="s">
        <v>2059</v>
      </c>
      <c r="D609" t="s">
        <v>2066</v>
      </c>
      <c r="E609" t="s">
        <v>2082</v>
      </c>
      <c r="F609" t="s">
        <v>675</v>
      </c>
      <c r="G609" t="s">
        <v>676</v>
      </c>
      <c r="I609">
        <v>96.132596685082902</v>
      </c>
      <c r="J609" t="s">
        <v>2063</v>
      </c>
      <c r="K609">
        <v>45</v>
      </c>
      <c r="L609">
        <v>0.97826086956521696</v>
      </c>
      <c r="M609" t="s">
        <v>7</v>
      </c>
      <c r="N609" t="s">
        <v>2714</v>
      </c>
      <c r="O609" t="s">
        <v>10</v>
      </c>
    </row>
    <row r="610" spans="1:16" x14ac:dyDescent="0.2">
      <c r="A610" t="s">
        <v>1364</v>
      </c>
      <c r="B610">
        <v>1614</v>
      </c>
      <c r="C610" t="s">
        <v>2059</v>
      </c>
      <c r="D610" t="s">
        <v>2066</v>
      </c>
      <c r="E610" t="s">
        <v>2086</v>
      </c>
      <c r="F610" t="s">
        <v>2087</v>
      </c>
      <c r="G610" t="s">
        <v>2088</v>
      </c>
      <c r="I610">
        <v>96.132596685082902</v>
      </c>
      <c r="J610" t="s">
        <v>2063</v>
      </c>
      <c r="K610">
        <v>9</v>
      </c>
      <c r="L610">
        <v>1</v>
      </c>
      <c r="M610" t="s">
        <v>7</v>
      </c>
      <c r="N610" t="s">
        <v>2714</v>
      </c>
      <c r="O610" t="s">
        <v>10</v>
      </c>
    </row>
    <row r="611" spans="1:16" x14ac:dyDescent="0.2">
      <c r="A611" t="s">
        <v>2630</v>
      </c>
      <c r="B611">
        <v>2173</v>
      </c>
      <c r="C611" t="s">
        <v>2059</v>
      </c>
      <c r="I611">
        <v>96.195652173913004</v>
      </c>
      <c r="J611" t="s">
        <v>2063</v>
      </c>
      <c r="K611">
        <v>1</v>
      </c>
      <c r="L611">
        <v>1</v>
      </c>
      <c r="M611" t="s">
        <v>2049</v>
      </c>
      <c r="N611" t="s">
        <v>2714</v>
      </c>
      <c r="O611" t="s">
        <v>10</v>
      </c>
    </row>
    <row r="612" spans="1:16" x14ac:dyDescent="0.2">
      <c r="A612" t="s">
        <v>1255</v>
      </c>
      <c r="B612">
        <v>1514</v>
      </c>
      <c r="C612" t="s">
        <v>2059</v>
      </c>
      <c r="D612" t="s">
        <v>2066</v>
      </c>
      <c r="E612" t="s">
        <v>2079</v>
      </c>
      <c r="F612" t="s">
        <v>734</v>
      </c>
      <c r="G612" t="s">
        <v>735</v>
      </c>
      <c r="I612">
        <v>96.428571428571402</v>
      </c>
      <c r="J612" t="s">
        <v>2063</v>
      </c>
      <c r="K612">
        <v>30</v>
      </c>
      <c r="L612">
        <v>0.9375</v>
      </c>
      <c r="M612" t="s">
        <v>7</v>
      </c>
      <c r="N612" t="s">
        <v>2714</v>
      </c>
      <c r="O612" t="s">
        <v>10</v>
      </c>
    </row>
    <row r="613" spans="1:16" x14ac:dyDescent="0.2">
      <c r="A613" t="s">
        <v>2024</v>
      </c>
      <c r="B613">
        <v>2576</v>
      </c>
      <c r="C613" t="s">
        <v>2059</v>
      </c>
      <c r="D613" t="s">
        <v>2066</v>
      </c>
      <c r="E613" t="s">
        <v>2082</v>
      </c>
      <c r="F613" t="s">
        <v>2634</v>
      </c>
      <c r="G613" t="s">
        <v>2713</v>
      </c>
      <c r="I613">
        <v>96.590909090909093</v>
      </c>
      <c r="J613" t="s">
        <v>2063</v>
      </c>
      <c r="K613">
        <v>14</v>
      </c>
      <c r="L613">
        <v>0.35</v>
      </c>
      <c r="M613" t="s">
        <v>7</v>
      </c>
      <c r="N613" t="s">
        <v>2038</v>
      </c>
      <c r="O613" t="s">
        <v>10</v>
      </c>
    </row>
    <row r="614" spans="1:16" x14ac:dyDescent="0.2">
      <c r="A614" t="s">
        <v>457</v>
      </c>
      <c r="B614">
        <v>396</v>
      </c>
      <c r="C614" t="s">
        <v>2059</v>
      </c>
      <c r="D614" t="s">
        <v>2066</v>
      </c>
      <c r="E614" t="s">
        <v>2090</v>
      </c>
      <c r="F614" t="s">
        <v>46</v>
      </c>
      <c r="I614">
        <v>96.610169491525397</v>
      </c>
      <c r="J614" t="s">
        <v>2063</v>
      </c>
      <c r="K614">
        <v>49</v>
      </c>
      <c r="L614">
        <v>0.98</v>
      </c>
      <c r="M614" t="s">
        <v>2052</v>
      </c>
      <c r="N614" t="s">
        <v>2714</v>
      </c>
      <c r="O614" t="s">
        <v>10</v>
      </c>
    </row>
    <row r="615" spans="1:16" hidden="1" x14ac:dyDescent="0.2">
      <c r="A615" t="s">
        <v>854</v>
      </c>
      <c r="B615">
        <v>928</v>
      </c>
      <c r="C615" t="s">
        <v>2059</v>
      </c>
      <c r="D615" t="s">
        <v>2066</v>
      </c>
      <c r="E615" t="s">
        <v>2082</v>
      </c>
      <c r="F615" t="s">
        <v>2156</v>
      </c>
      <c r="G615" t="s">
        <v>244</v>
      </c>
      <c r="H615" t="s">
        <v>245</v>
      </c>
      <c r="I615">
        <v>99.4444444444444</v>
      </c>
      <c r="J615" t="s">
        <v>2063</v>
      </c>
      <c r="K615">
        <v>4</v>
      </c>
      <c r="L615">
        <v>1</v>
      </c>
      <c r="M615" t="s">
        <v>8</v>
      </c>
      <c r="N615" t="s">
        <v>2037</v>
      </c>
      <c r="O615" t="s">
        <v>10</v>
      </c>
      <c r="P615" t="s">
        <v>2372</v>
      </c>
    </row>
    <row r="616" spans="1:16" hidden="1" x14ac:dyDescent="0.2">
      <c r="A616" t="s">
        <v>1079</v>
      </c>
      <c r="B616">
        <v>1281</v>
      </c>
      <c r="C616" t="s">
        <v>2059</v>
      </c>
      <c r="D616" t="s">
        <v>2066</v>
      </c>
      <c r="E616" t="s">
        <v>2082</v>
      </c>
      <c r="F616" t="s">
        <v>2156</v>
      </c>
      <c r="G616" t="s">
        <v>244</v>
      </c>
      <c r="H616" t="s">
        <v>245</v>
      </c>
      <c r="I616">
        <v>97.790055248618799</v>
      </c>
      <c r="J616" t="s">
        <v>2063</v>
      </c>
      <c r="K616">
        <v>4</v>
      </c>
      <c r="L616">
        <v>1</v>
      </c>
      <c r="M616" t="s">
        <v>8</v>
      </c>
      <c r="N616" t="s">
        <v>2037</v>
      </c>
      <c r="O616" t="s">
        <v>10</v>
      </c>
      <c r="P616" t="s">
        <v>2372</v>
      </c>
    </row>
    <row r="617" spans="1:16" hidden="1" x14ac:dyDescent="0.2">
      <c r="A617" t="s">
        <v>1385</v>
      </c>
      <c r="B617">
        <v>1643</v>
      </c>
      <c r="C617" t="s">
        <v>2059</v>
      </c>
      <c r="D617" t="s">
        <v>2066</v>
      </c>
      <c r="E617" t="s">
        <v>2082</v>
      </c>
      <c r="F617" t="s">
        <v>2156</v>
      </c>
      <c r="G617" t="s">
        <v>244</v>
      </c>
      <c r="H617" t="s">
        <v>245</v>
      </c>
      <c r="I617">
        <v>100</v>
      </c>
      <c r="J617" t="s">
        <v>2063</v>
      </c>
      <c r="K617">
        <v>4</v>
      </c>
      <c r="L617">
        <v>1</v>
      </c>
      <c r="M617" t="s">
        <v>8</v>
      </c>
      <c r="N617" t="s">
        <v>2037</v>
      </c>
      <c r="O617" t="s">
        <v>10</v>
      </c>
      <c r="P617" t="s">
        <v>2372</v>
      </c>
    </row>
    <row r="618" spans="1:16" hidden="1" x14ac:dyDescent="0.2">
      <c r="A618" t="s">
        <v>240</v>
      </c>
      <c r="B618">
        <v>169</v>
      </c>
      <c r="C618" t="s">
        <v>2059</v>
      </c>
      <c r="D618" t="s">
        <v>2066</v>
      </c>
      <c r="E618" t="s">
        <v>2082</v>
      </c>
      <c r="F618" t="s">
        <v>2156</v>
      </c>
      <c r="G618" t="s">
        <v>244</v>
      </c>
      <c r="I618">
        <v>96.685082872928206</v>
      </c>
      <c r="J618" t="s">
        <v>2063</v>
      </c>
      <c r="K618">
        <v>4</v>
      </c>
      <c r="L618">
        <v>1</v>
      </c>
      <c r="M618" t="s">
        <v>7</v>
      </c>
      <c r="N618" t="s">
        <v>2037</v>
      </c>
      <c r="O618" t="s">
        <v>10</v>
      </c>
    </row>
    <row r="619" spans="1:16" hidden="1" x14ac:dyDescent="0.2">
      <c r="A619" t="s">
        <v>593</v>
      </c>
      <c r="B619">
        <v>603</v>
      </c>
      <c r="C619" t="s">
        <v>2059</v>
      </c>
      <c r="D619" t="s">
        <v>2066</v>
      </c>
      <c r="E619" t="s">
        <v>2082</v>
      </c>
      <c r="F619" t="s">
        <v>2288</v>
      </c>
      <c r="G619" t="s">
        <v>595</v>
      </c>
      <c r="H619" t="s">
        <v>2289</v>
      </c>
      <c r="I619">
        <v>97.237569060773495</v>
      </c>
      <c r="J619" t="s">
        <v>2113</v>
      </c>
      <c r="K619">
        <v>1</v>
      </c>
      <c r="L619">
        <v>1</v>
      </c>
      <c r="M619" t="s">
        <v>8</v>
      </c>
      <c r="N619" t="s">
        <v>2038</v>
      </c>
      <c r="O619" t="s">
        <v>10</v>
      </c>
      <c r="P619" t="s">
        <v>2290</v>
      </c>
    </row>
    <row r="620" spans="1:16" hidden="1" x14ac:dyDescent="0.2">
      <c r="A620" t="s">
        <v>1343</v>
      </c>
      <c r="B620">
        <v>1594</v>
      </c>
      <c r="C620" t="s">
        <v>2059</v>
      </c>
      <c r="D620" t="s">
        <v>2066</v>
      </c>
      <c r="E620" t="s">
        <v>2082</v>
      </c>
      <c r="F620" t="s">
        <v>231</v>
      </c>
      <c r="G620" t="s">
        <v>232</v>
      </c>
      <c r="H620" t="s">
        <v>2521</v>
      </c>
      <c r="I620">
        <v>99.431818181818201</v>
      </c>
      <c r="J620" t="s">
        <v>2063</v>
      </c>
      <c r="K620">
        <v>3</v>
      </c>
      <c r="L620">
        <v>1</v>
      </c>
      <c r="M620" t="s">
        <v>8</v>
      </c>
      <c r="N620" t="s">
        <v>2037</v>
      </c>
      <c r="O620" t="s">
        <v>10</v>
      </c>
      <c r="P620" t="s">
        <v>2522</v>
      </c>
    </row>
    <row r="621" spans="1:16" hidden="1" x14ac:dyDescent="0.2">
      <c r="A621" t="s">
        <v>1460</v>
      </c>
      <c r="B621">
        <v>1790</v>
      </c>
      <c r="C621" t="s">
        <v>2059</v>
      </c>
      <c r="D621" t="s">
        <v>2066</v>
      </c>
      <c r="E621" t="s">
        <v>2082</v>
      </c>
      <c r="F621" t="s">
        <v>231</v>
      </c>
      <c r="G621" t="s">
        <v>232</v>
      </c>
      <c r="H621" t="s">
        <v>2521</v>
      </c>
      <c r="I621">
        <v>100</v>
      </c>
      <c r="J621" t="s">
        <v>2063</v>
      </c>
      <c r="K621">
        <v>3</v>
      </c>
      <c r="L621">
        <v>1</v>
      </c>
      <c r="M621" t="s">
        <v>8</v>
      </c>
      <c r="N621" t="s">
        <v>2037</v>
      </c>
      <c r="O621" t="s">
        <v>10</v>
      </c>
      <c r="P621" t="s">
        <v>2522</v>
      </c>
    </row>
    <row r="622" spans="1:16" hidden="1" x14ac:dyDescent="0.2">
      <c r="A622" t="s">
        <v>228</v>
      </c>
      <c r="B622">
        <v>163</v>
      </c>
      <c r="C622" t="s">
        <v>2059</v>
      </c>
      <c r="D622" t="s">
        <v>2066</v>
      </c>
      <c r="E622" t="s">
        <v>2082</v>
      </c>
      <c r="F622" t="s">
        <v>231</v>
      </c>
      <c r="G622" t="s">
        <v>232</v>
      </c>
      <c r="I622">
        <v>96.132596685082902</v>
      </c>
      <c r="J622" t="s">
        <v>2063</v>
      </c>
      <c r="K622">
        <v>10</v>
      </c>
      <c r="L622">
        <v>0.37037037037037002</v>
      </c>
      <c r="M622" t="s">
        <v>7</v>
      </c>
      <c r="N622" t="s">
        <v>2037</v>
      </c>
      <c r="O622" t="s">
        <v>10</v>
      </c>
    </row>
    <row r="623" spans="1:16" hidden="1" x14ac:dyDescent="0.2">
      <c r="A623" t="s">
        <v>1169</v>
      </c>
      <c r="B623">
        <v>1402</v>
      </c>
      <c r="C623" t="s">
        <v>2059</v>
      </c>
      <c r="D623" t="s">
        <v>2066</v>
      </c>
      <c r="E623" t="s">
        <v>2082</v>
      </c>
      <c r="F623" t="s">
        <v>231</v>
      </c>
      <c r="G623" t="s">
        <v>232</v>
      </c>
      <c r="I623">
        <v>95.580110497237598</v>
      </c>
      <c r="J623" t="s">
        <v>2063</v>
      </c>
      <c r="K623">
        <v>9</v>
      </c>
      <c r="L623">
        <v>0.47368421052631599</v>
      </c>
      <c r="M623" t="s">
        <v>7</v>
      </c>
      <c r="N623" t="s">
        <v>2037</v>
      </c>
      <c r="O623" t="s">
        <v>10</v>
      </c>
    </row>
    <row r="624" spans="1:16" hidden="1" x14ac:dyDescent="0.2">
      <c r="A624" t="s">
        <v>1683</v>
      </c>
      <c r="B624">
        <v>2077</v>
      </c>
      <c r="C624" t="s">
        <v>2059</v>
      </c>
      <c r="D624" t="s">
        <v>2066</v>
      </c>
      <c r="E624" t="s">
        <v>2082</v>
      </c>
      <c r="F624" t="s">
        <v>231</v>
      </c>
      <c r="G624" t="s">
        <v>232</v>
      </c>
      <c r="I624">
        <v>96.132596685082902</v>
      </c>
      <c r="J624" t="s">
        <v>2063</v>
      </c>
      <c r="K624">
        <v>1</v>
      </c>
      <c r="L624">
        <v>1</v>
      </c>
      <c r="M624" t="s">
        <v>7</v>
      </c>
      <c r="N624" t="s">
        <v>2037</v>
      </c>
      <c r="O624" t="s">
        <v>10</v>
      </c>
    </row>
    <row r="625" spans="1:16" hidden="1" x14ac:dyDescent="0.2">
      <c r="A625" t="s">
        <v>1994</v>
      </c>
      <c r="B625">
        <v>2523</v>
      </c>
      <c r="C625" t="s">
        <v>2059</v>
      </c>
      <c r="D625" t="s">
        <v>2066</v>
      </c>
      <c r="E625" t="s">
        <v>2082</v>
      </c>
      <c r="F625" t="s">
        <v>231</v>
      </c>
      <c r="G625" t="s">
        <v>232</v>
      </c>
      <c r="I625">
        <v>95.580110497237598</v>
      </c>
      <c r="J625" t="s">
        <v>2063</v>
      </c>
      <c r="K625">
        <v>2</v>
      </c>
      <c r="L625">
        <v>0.66666666666666696</v>
      </c>
      <c r="M625" t="s">
        <v>7</v>
      </c>
      <c r="N625" t="s">
        <v>2037</v>
      </c>
      <c r="O625" t="s">
        <v>10</v>
      </c>
    </row>
    <row r="626" spans="1:16" hidden="1" x14ac:dyDescent="0.2">
      <c r="A626" t="s">
        <v>527</v>
      </c>
      <c r="B626">
        <v>520</v>
      </c>
      <c r="C626" t="s">
        <v>2059</v>
      </c>
      <c r="D626" t="s">
        <v>2066</v>
      </c>
      <c r="E626" t="s">
        <v>2082</v>
      </c>
      <c r="F626" t="s">
        <v>225</v>
      </c>
      <c r="G626" t="s">
        <v>226</v>
      </c>
      <c r="H626" t="s">
        <v>528</v>
      </c>
      <c r="I626">
        <v>99.441340782122893</v>
      </c>
      <c r="J626" t="s">
        <v>2063</v>
      </c>
      <c r="K626">
        <v>22</v>
      </c>
      <c r="L626">
        <v>0.81481481481481499</v>
      </c>
      <c r="M626" t="s">
        <v>8</v>
      </c>
      <c r="N626" t="s">
        <v>2037</v>
      </c>
      <c r="O626" t="s">
        <v>10</v>
      </c>
      <c r="P626" t="s">
        <v>2263</v>
      </c>
    </row>
    <row r="627" spans="1:16" hidden="1" x14ac:dyDescent="0.2">
      <c r="A627" t="s">
        <v>1413</v>
      </c>
      <c r="B627">
        <v>1687</v>
      </c>
      <c r="C627" t="s">
        <v>2059</v>
      </c>
      <c r="D627" t="s">
        <v>2066</v>
      </c>
      <c r="E627" t="s">
        <v>2082</v>
      </c>
      <c r="F627" t="s">
        <v>225</v>
      </c>
      <c r="G627" t="s">
        <v>226</v>
      </c>
      <c r="H627" t="s">
        <v>1457</v>
      </c>
      <c r="I627">
        <v>100</v>
      </c>
      <c r="J627" t="s">
        <v>2063</v>
      </c>
      <c r="K627">
        <v>9</v>
      </c>
      <c r="L627">
        <v>0.5625</v>
      </c>
      <c r="M627" t="s">
        <v>8</v>
      </c>
      <c r="N627" t="s">
        <v>2037</v>
      </c>
      <c r="O627" t="s">
        <v>10</v>
      </c>
      <c r="P627" t="s">
        <v>2536</v>
      </c>
    </row>
    <row r="628" spans="1:16" hidden="1" x14ac:dyDescent="0.2">
      <c r="A628" t="s">
        <v>1560</v>
      </c>
      <c r="B628">
        <v>1911</v>
      </c>
      <c r="C628" t="s">
        <v>2059</v>
      </c>
      <c r="D628" t="s">
        <v>2066</v>
      </c>
      <c r="E628" t="s">
        <v>2082</v>
      </c>
      <c r="F628" t="s">
        <v>225</v>
      </c>
      <c r="G628" t="s">
        <v>226</v>
      </c>
      <c r="H628" t="s">
        <v>1561</v>
      </c>
      <c r="I628">
        <v>99.4444444444444</v>
      </c>
      <c r="J628" t="s">
        <v>2063</v>
      </c>
      <c r="K628">
        <v>37</v>
      </c>
      <c r="L628">
        <v>0.80434782608695699</v>
      </c>
      <c r="M628" t="s">
        <v>8</v>
      </c>
      <c r="N628" t="s">
        <v>2037</v>
      </c>
      <c r="O628" t="s">
        <v>10</v>
      </c>
      <c r="P628" t="s">
        <v>2575</v>
      </c>
    </row>
    <row r="629" spans="1:16" hidden="1" x14ac:dyDescent="0.2">
      <c r="A629" t="s">
        <v>1456</v>
      </c>
      <c r="B629">
        <v>1783</v>
      </c>
      <c r="C629" t="s">
        <v>2059</v>
      </c>
      <c r="D629" t="s">
        <v>2066</v>
      </c>
      <c r="E629" t="s">
        <v>2082</v>
      </c>
      <c r="F629" t="s">
        <v>225</v>
      </c>
      <c r="G629" t="s">
        <v>226</v>
      </c>
      <c r="H629" t="s">
        <v>1414</v>
      </c>
      <c r="I629">
        <v>98.3333333333333</v>
      </c>
      <c r="J629" t="s">
        <v>2063</v>
      </c>
      <c r="K629">
        <v>5</v>
      </c>
      <c r="L629">
        <v>0.5</v>
      </c>
      <c r="M629" t="s">
        <v>8</v>
      </c>
      <c r="N629" t="s">
        <v>2037</v>
      </c>
      <c r="O629" t="s">
        <v>10</v>
      </c>
      <c r="P629" t="s">
        <v>2544</v>
      </c>
    </row>
    <row r="630" spans="1:16" hidden="1" x14ac:dyDescent="0.2">
      <c r="A630" t="s">
        <v>224</v>
      </c>
      <c r="B630">
        <v>161</v>
      </c>
      <c r="C630" t="s">
        <v>2059</v>
      </c>
      <c r="D630" t="s">
        <v>2066</v>
      </c>
      <c r="E630" t="s">
        <v>2082</v>
      </c>
      <c r="F630" t="s">
        <v>225</v>
      </c>
      <c r="G630" t="s">
        <v>226</v>
      </c>
      <c r="I630">
        <v>96.685082872928206</v>
      </c>
      <c r="J630" t="s">
        <v>2063</v>
      </c>
      <c r="K630">
        <v>68</v>
      </c>
      <c r="L630">
        <v>0.76404494382022503</v>
      </c>
      <c r="M630" t="s">
        <v>7</v>
      </c>
      <c r="N630" t="s">
        <v>2037</v>
      </c>
      <c r="O630" t="s">
        <v>10</v>
      </c>
    </row>
    <row r="631" spans="1:16" hidden="1" x14ac:dyDescent="0.2">
      <c r="A631" t="s">
        <v>1644</v>
      </c>
      <c r="B631">
        <v>2012</v>
      </c>
      <c r="C631" t="s">
        <v>2059</v>
      </c>
      <c r="D631" t="s">
        <v>2066</v>
      </c>
      <c r="E631" t="s">
        <v>2082</v>
      </c>
      <c r="F631" t="s">
        <v>225</v>
      </c>
      <c r="G631" t="s">
        <v>226</v>
      </c>
      <c r="I631">
        <v>96.6666666666667</v>
      </c>
      <c r="J631" t="s">
        <v>2063</v>
      </c>
      <c r="K631">
        <v>39</v>
      </c>
      <c r="L631">
        <v>0.68421052631579005</v>
      </c>
      <c r="M631" t="s">
        <v>7</v>
      </c>
      <c r="N631" t="s">
        <v>2037</v>
      </c>
      <c r="O631" t="s">
        <v>10</v>
      </c>
    </row>
    <row r="632" spans="1:16" hidden="1" x14ac:dyDescent="0.2">
      <c r="A632" t="s">
        <v>1965</v>
      </c>
      <c r="B632">
        <v>2467</v>
      </c>
      <c r="C632" t="s">
        <v>2059</v>
      </c>
      <c r="D632" t="s">
        <v>2066</v>
      </c>
      <c r="E632" t="s">
        <v>2082</v>
      </c>
      <c r="F632" t="s">
        <v>225</v>
      </c>
      <c r="G632" t="s">
        <v>226</v>
      </c>
      <c r="I632">
        <v>96.6480446927374</v>
      </c>
      <c r="J632" t="s">
        <v>2063</v>
      </c>
      <c r="K632">
        <v>2</v>
      </c>
      <c r="L632">
        <v>1</v>
      </c>
      <c r="M632" t="s">
        <v>7</v>
      </c>
      <c r="N632" t="s">
        <v>2037</v>
      </c>
      <c r="O632" t="s">
        <v>10</v>
      </c>
    </row>
    <row r="633" spans="1:16" hidden="1" x14ac:dyDescent="0.2">
      <c r="A633" t="s">
        <v>2030</v>
      </c>
      <c r="B633">
        <v>2586</v>
      </c>
      <c r="C633" t="s">
        <v>2059</v>
      </c>
      <c r="D633" t="s">
        <v>2066</v>
      </c>
      <c r="E633" t="s">
        <v>2082</v>
      </c>
      <c r="F633" t="s">
        <v>225</v>
      </c>
      <c r="G633" t="s">
        <v>226</v>
      </c>
      <c r="I633">
        <v>96.089385474860293</v>
      </c>
      <c r="J633" t="s">
        <v>2063</v>
      </c>
      <c r="K633">
        <v>2</v>
      </c>
      <c r="L633">
        <v>1</v>
      </c>
      <c r="M633" t="s">
        <v>7</v>
      </c>
      <c r="N633" t="s">
        <v>2037</v>
      </c>
      <c r="O633" t="s">
        <v>10</v>
      </c>
    </row>
    <row r="634" spans="1:16" hidden="1" x14ac:dyDescent="0.2">
      <c r="A634" t="s">
        <v>1288</v>
      </c>
      <c r="B634">
        <v>1546</v>
      </c>
      <c r="C634" t="s">
        <v>2059</v>
      </c>
      <c r="D634" t="s">
        <v>2066</v>
      </c>
      <c r="E634" t="s">
        <v>2082</v>
      </c>
      <c r="F634" t="s">
        <v>225</v>
      </c>
      <c r="G634" t="s">
        <v>1289</v>
      </c>
      <c r="H634" t="s">
        <v>1290</v>
      </c>
      <c r="I634">
        <v>97.2222222222222</v>
      </c>
      <c r="J634" t="s">
        <v>2063</v>
      </c>
      <c r="K634">
        <v>6</v>
      </c>
      <c r="L634">
        <v>0.35294117647058798</v>
      </c>
      <c r="M634" t="s">
        <v>8</v>
      </c>
      <c r="N634" t="s">
        <v>2038</v>
      </c>
      <c r="O634" t="s">
        <v>10</v>
      </c>
      <c r="P634" t="s">
        <v>2503</v>
      </c>
    </row>
    <row r="635" spans="1:16" hidden="1" x14ac:dyDescent="0.2">
      <c r="A635" t="s">
        <v>42</v>
      </c>
      <c r="B635">
        <v>19</v>
      </c>
      <c r="C635" t="s">
        <v>2059</v>
      </c>
      <c r="D635" t="s">
        <v>2066</v>
      </c>
      <c r="E635" t="s">
        <v>2082</v>
      </c>
      <c r="F635" t="s">
        <v>36</v>
      </c>
      <c r="G635" t="s">
        <v>2089</v>
      </c>
      <c r="I635">
        <v>95.5555555555556</v>
      </c>
      <c r="J635" t="s">
        <v>2063</v>
      </c>
      <c r="K635">
        <v>1</v>
      </c>
      <c r="L635">
        <v>1</v>
      </c>
      <c r="M635" t="s">
        <v>7</v>
      </c>
      <c r="N635" t="s">
        <v>2038</v>
      </c>
      <c r="O635" t="s">
        <v>10</v>
      </c>
    </row>
    <row r="636" spans="1:16" hidden="1" x14ac:dyDescent="0.2">
      <c r="A636" t="s">
        <v>417</v>
      </c>
      <c r="B636">
        <v>348</v>
      </c>
      <c r="C636" t="s">
        <v>2059</v>
      </c>
      <c r="D636" t="s">
        <v>2066</v>
      </c>
      <c r="E636" t="s">
        <v>2082</v>
      </c>
      <c r="F636" t="s">
        <v>36</v>
      </c>
      <c r="G636" t="s">
        <v>418</v>
      </c>
      <c r="H636" t="s">
        <v>419</v>
      </c>
      <c r="I636">
        <v>98.895027624309407</v>
      </c>
      <c r="J636" t="s">
        <v>2063</v>
      </c>
      <c r="K636">
        <v>31</v>
      </c>
      <c r="L636">
        <v>0.96875</v>
      </c>
      <c r="M636" t="s">
        <v>8</v>
      </c>
      <c r="N636" t="s">
        <v>2038</v>
      </c>
      <c r="O636" t="s">
        <v>10</v>
      </c>
      <c r="P636" t="s">
        <v>2216</v>
      </c>
    </row>
    <row r="637" spans="1:16" hidden="1" x14ac:dyDescent="0.2">
      <c r="A637" t="s">
        <v>481</v>
      </c>
      <c r="B637">
        <v>427</v>
      </c>
      <c r="C637" t="s">
        <v>2059</v>
      </c>
      <c r="D637" t="s">
        <v>2066</v>
      </c>
      <c r="E637" t="s">
        <v>2082</v>
      </c>
      <c r="F637" t="s">
        <v>36</v>
      </c>
      <c r="G637" t="s">
        <v>418</v>
      </c>
      <c r="H637" t="s">
        <v>419</v>
      </c>
      <c r="I637">
        <v>100</v>
      </c>
      <c r="J637" t="s">
        <v>2063</v>
      </c>
      <c r="K637">
        <v>52</v>
      </c>
      <c r="L637">
        <v>0.98113207547169801</v>
      </c>
      <c r="M637" t="s">
        <v>8</v>
      </c>
      <c r="N637" t="s">
        <v>2038</v>
      </c>
      <c r="O637" t="s">
        <v>10</v>
      </c>
      <c r="P637" t="s">
        <v>2216</v>
      </c>
    </row>
    <row r="638" spans="1:16" hidden="1" x14ac:dyDescent="0.2">
      <c r="A638" t="s">
        <v>586</v>
      </c>
      <c r="B638">
        <v>594</v>
      </c>
      <c r="C638" t="s">
        <v>2059</v>
      </c>
      <c r="D638" t="s">
        <v>2066</v>
      </c>
      <c r="E638" t="s">
        <v>2082</v>
      </c>
      <c r="F638" t="s">
        <v>36</v>
      </c>
      <c r="G638" t="s">
        <v>418</v>
      </c>
      <c r="H638" t="s">
        <v>419</v>
      </c>
      <c r="I638">
        <v>98.895027624309407</v>
      </c>
      <c r="J638" t="s">
        <v>2063</v>
      </c>
      <c r="K638">
        <v>31</v>
      </c>
      <c r="L638">
        <v>0.96875</v>
      </c>
      <c r="M638" t="s">
        <v>8</v>
      </c>
      <c r="N638" t="s">
        <v>2038</v>
      </c>
      <c r="O638" t="s">
        <v>10</v>
      </c>
      <c r="P638" t="s">
        <v>2216</v>
      </c>
    </row>
    <row r="639" spans="1:16" hidden="1" x14ac:dyDescent="0.2">
      <c r="A639" t="s">
        <v>1075</v>
      </c>
      <c r="B639">
        <v>1275</v>
      </c>
      <c r="C639" t="s">
        <v>2059</v>
      </c>
      <c r="D639" t="s">
        <v>2066</v>
      </c>
      <c r="E639" t="s">
        <v>2082</v>
      </c>
      <c r="F639" t="s">
        <v>36</v>
      </c>
      <c r="G639" t="s">
        <v>418</v>
      </c>
      <c r="H639" t="s">
        <v>419</v>
      </c>
      <c r="I639">
        <v>99.447513812154696</v>
      </c>
      <c r="J639" t="s">
        <v>2063</v>
      </c>
      <c r="K639">
        <v>49</v>
      </c>
      <c r="L639">
        <v>0.98</v>
      </c>
      <c r="M639" t="s">
        <v>8</v>
      </c>
      <c r="N639" t="s">
        <v>2038</v>
      </c>
      <c r="O639" t="s">
        <v>10</v>
      </c>
      <c r="P639" t="s">
        <v>2216</v>
      </c>
    </row>
    <row r="640" spans="1:16" hidden="1" x14ac:dyDescent="0.2">
      <c r="A640" t="s">
        <v>1189</v>
      </c>
      <c r="B640">
        <v>1424</v>
      </c>
      <c r="C640" t="s">
        <v>2059</v>
      </c>
      <c r="D640" t="s">
        <v>2066</v>
      </c>
      <c r="E640" t="s">
        <v>2082</v>
      </c>
      <c r="F640" t="s">
        <v>36</v>
      </c>
      <c r="G640" t="s">
        <v>418</v>
      </c>
      <c r="H640" t="s">
        <v>419</v>
      </c>
      <c r="I640">
        <v>100</v>
      </c>
      <c r="J640" t="s">
        <v>2063</v>
      </c>
      <c r="K640">
        <v>52</v>
      </c>
      <c r="L640">
        <v>0.98113207547169801</v>
      </c>
      <c r="M640" t="s">
        <v>8</v>
      </c>
      <c r="N640" t="s">
        <v>2038</v>
      </c>
      <c r="O640" t="s">
        <v>10</v>
      </c>
      <c r="P640" t="s">
        <v>2216</v>
      </c>
    </row>
    <row r="641" spans="1:16" hidden="1" x14ac:dyDescent="0.2">
      <c r="A641" t="s">
        <v>1238</v>
      </c>
      <c r="B641">
        <v>1483</v>
      </c>
      <c r="C641" t="s">
        <v>2059</v>
      </c>
      <c r="D641" t="s">
        <v>2066</v>
      </c>
      <c r="E641" t="s">
        <v>2082</v>
      </c>
      <c r="F641" t="s">
        <v>36</v>
      </c>
      <c r="G641" t="s">
        <v>418</v>
      </c>
      <c r="H641" t="s">
        <v>419</v>
      </c>
      <c r="I641">
        <v>98.895027624309407</v>
      </c>
      <c r="J641" t="s">
        <v>2063</v>
      </c>
      <c r="K641">
        <v>52</v>
      </c>
      <c r="L641">
        <v>0.98113207547169801</v>
      </c>
      <c r="M641" t="s">
        <v>8</v>
      </c>
      <c r="N641" t="s">
        <v>2038</v>
      </c>
      <c r="O641" t="s">
        <v>10</v>
      </c>
      <c r="P641" t="s">
        <v>2486</v>
      </c>
    </row>
    <row r="642" spans="1:16" hidden="1" x14ac:dyDescent="0.2">
      <c r="A642" t="s">
        <v>1445</v>
      </c>
      <c r="B642">
        <v>1766</v>
      </c>
      <c r="C642" t="s">
        <v>2059</v>
      </c>
      <c r="D642" t="s">
        <v>2066</v>
      </c>
      <c r="E642" t="s">
        <v>2082</v>
      </c>
      <c r="F642" t="s">
        <v>36</v>
      </c>
      <c r="G642" t="s">
        <v>418</v>
      </c>
      <c r="H642" t="s">
        <v>419</v>
      </c>
      <c r="I642">
        <v>98.8888888888889</v>
      </c>
      <c r="J642" t="s">
        <v>2063</v>
      </c>
      <c r="K642">
        <v>31</v>
      </c>
      <c r="L642">
        <v>0.96875</v>
      </c>
      <c r="M642" t="s">
        <v>8</v>
      </c>
      <c r="N642" t="s">
        <v>2038</v>
      </c>
      <c r="O642" t="s">
        <v>10</v>
      </c>
      <c r="P642" t="s">
        <v>2216</v>
      </c>
    </row>
    <row r="643" spans="1:16" hidden="1" x14ac:dyDescent="0.2">
      <c r="A643" t="s">
        <v>668</v>
      </c>
      <c r="B643">
        <v>677</v>
      </c>
      <c r="C643" t="s">
        <v>2059</v>
      </c>
      <c r="D643" t="s">
        <v>2066</v>
      </c>
      <c r="E643" t="s">
        <v>2082</v>
      </c>
      <c r="F643" t="s">
        <v>36</v>
      </c>
      <c r="G643" t="s">
        <v>2310</v>
      </c>
      <c r="H643" t="s">
        <v>2311</v>
      </c>
      <c r="I643">
        <v>98.342541436464103</v>
      </c>
      <c r="J643" t="s">
        <v>2063</v>
      </c>
      <c r="K643">
        <v>4</v>
      </c>
      <c r="L643">
        <v>0.2</v>
      </c>
      <c r="M643" t="s">
        <v>8</v>
      </c>
      <c r="N643" t="s">
        <v>2038</v>
      </c>
      <c r="O643" t="s">
        <v>10</v>
      </c>
      <c r="P643" t="s">
        <v>2312</v>
      </c>
    </row>
    <row r="644" spans="1:16" hidden="1" x14ac:dyDescent="0.2">
      <c r="A644" t="s">
        <v>325</v>
      </c>
      <c r="B644">
        <v>238</v>
      </c>
      <c r="C644" t="s">
        <v>2059</v>
      </c>
      <c r="D644" t="s">
        <v>2066</v>
      </c>
      <c r="E644" t="s">
        <v>2082</v>
      </c>
      <c r="F644" t="s">
        <v>36</v>
      </c>
      <c r="G644" t="s">
        <v>229</v>
      </c>
      <c r="H644" t="s">
        <v>327</v>
      </c>
      <c r="I644">
        <v>98.113207547169793</v>
      </c>
      <c r="J644" t="s">
        <v>2063</v>
      </c>
      <c r="K644">
        <v>2</v>
      </c>
      <c r="L644">
        <v>0.5</v>
      </c>
      <c r="M644" t="s">
        <v>8</v>
      </c>
      <c r="N644" t="s">
        <v>2038</v>
      </c>
      <c r="O644" t="s">
        <v>10</v>
      </c>
      <c r="P644" t="s">
        <v>2177</v>
      </c>
    </row>
    <row r="645" spans="1:16" hidden="1" x14ac:dyDescent="0.2">
      <c r="A645" t="s">
        <v>404</v>
      </c>
      <c r="B645">
        <v>320</v>
      </c>
      <c r="C645" t="s">
        <v>2059</v>
      </c>
      <c r="D645" t="s">
        <v>2066</v>
      </c>
      <c r="E645" t="s">
        <v>2082</v>
      </c>
      <c r="F645" t="s">
        <v>36</v>
      </c>
      <c r="G645" t="s">
        <v>1216</v>
      </c>
      <c r="H645" t="s">
        <v>1217</v>
      </c>
      <c r="I645">
        <v>97.2222222222222</v>
      </c>
      <c r="J645" t="s">
        <v>2063</v>
      </c>
      <c r="K645">
        <v>3</v>
      </c>
      <c r="L645">
        <v>0.6</v>
      </c>
      <c r="M645" t="s">
        <v>8</v>
      </c>
      <c r="N645" t="s">
        <v>2038</v>
      </c>
      <c r="O645" t="s">
        <v>10</v>
      </c>
      <c r="P645" t="s">
        <v>2213</v>
      </c>
    </row>
    <row r="646" spans="1:16" hidden="1" x14ac:dyDescent="0.2">
      <c r="A646" t="s">
        <v>1213</v>
      </c>
      <c r="B646">
        <v>1452</v>
      </c>
      <c r="C646" t="s">
        <v>2059</v>
      </c>
      <c r="D646" t="s">
        <v>2066</v>
      </c>
      <c r="E646" t="s">
        <v>2082</v>
      </c>
      <c r="F646" t="s">
        <v>36</v>
      </c>
      <c r="G646" t="s">
        <v>1216</v>
      </c>
      <c r="H646" t="s">
        <v>1217</v>
      </c>
      <c r="I646">
        <v>97.237569060773495</v>
      </c>
      <c r="J646" t="s">
        <v>2063</v>
      </c>
      <c r="K646">
        <v>3</v>
      </c>
      <c r="L646">
        <v>1</v>
      </c>
      <c r="M646" t="s">
        <v>8</v>
      </c>
      <c r="N646" t="s">
        <v>2038</v>
      </c>
      <c r="O646" t="s">
        <v>10</v>
      </c>
      <c r="P646" t="s">
        <v>2213</v>
      </c>
    </row>
    <row r="647" spans="1:16" hidden="1" x14ac:dyDescent="0.2">
      <c r="A647" t="s">
        <v>185</v>
      </c>
      <c r="B647">
        <v>128</v>
      </c>
      <c r="C647" t="s">
        <v>2059</v>
      </c>
      <c r="D647" t="s">
        <v>2066</v>
      </c>
      <c r="E647" t="s">
        <v>2082</v>
      </c>
      <c r="F647" t="s">
        <v>36</v>
      </c>
      <c r="G647" t="s">
        <v>43</v>
      </c>
      <c r="I647">
        <v>95.027624309392294</v>
      </c>
      <c r="J647" t="s">
        <v>2113</v>
      </c>
      <c r="K647">
        <v>1</v>
      </c>
      <c r="L647">
        <v>1</v>
      </c>
      <c r="M647" t="s">
        <v>7</v>
      </c>
      <c r="N647" t="s">
        <v>2038</v>
      </c>
      <c r="O647" t="s">
        <v>10</v>
      </c>
    </row>
    <row r="648" spans="1:16" hidden="1" x14ac:dyDescent="0.2">
      <c r="A648" t="s">
        <v>1969</v>
      </c>
      <c r="B648">
        <v>2490</v>
      </c>
      <c r="C648" t="s">
        <v>2059</v>
      </c>
      <c r="D648" t="s">
        <v>2066</v>
      </c>
      <c r="E648" t="s">
        <v>2082</v>
      </c>
      <c r="F648" t="s">
        <v>36</v>
      </c>
      <c r="G648" t="s">
        <v>2697</v>
      </c>
      <c r="H648" t="s">
        <v>2698</v>
      </c>
      <c r="I648">
        <v>99.270072992700705</v>
      </c>
      <c r="J648" t="s">
        <v>2063</v>
      </c>
      <c r="K648">
        <v>6</v>
      </c>
      <c r="L648">
        <v>1</v>
      </c>
      <c r="M648" t="s">
        <v>8</v>
      </c>
      <c r="N648" t="s">
        <v>2038</v>
      </c>
      <c r="O648" t="s">
        <v>10</v>
      </c>
      <c r="P648" t="s">
        <v>2699</v>
      </c>
    </row>
    <row r="649" spans="1:16" hidden="1" x14ac:dyDescent="0.2">
      <c r="A649" t="s">
        <v>1987</v>
      </c>
      <c r="B649">
        <v>2519</v>
      </c>
      <c r="C649" t="s">
        <v>2059</v>
      </c>
      <c r="D649" t="s">
        <v>2066</v>
      </c>
      <c r="E649" t="s">
        <v>2082</v>
      </c>
      <c r="F649" t="s">
        <v>36</v>
      </c>
      <c r="G649" t="s">
        <v>2697</v>
      </c>
      <c r="H649" t="s">
        <v>2698</v>
      </c>
      <c r="I649">
        <v>98.540145985401494</v>
      </c>
      <c r="J649" t="s">
        <v>2063</v>
      </c>
      <c r="K649">
        <v>4</v>
      </c>
      <c r="L649">
        <v>1</v>
      </c>
      <c r="M649" t="s">
        <v>8</v>
      </c>
      <c r="N649" t="s">
        <v>2038</v>
      </c>
      <c r="O649" t="s">
        <v>10</v>
      </c>
      <c r="P649" t="s">
        <v>2699</v>
      </c>
    </row>
    <row r="650" spans="1:16" hidden="1" x14ac:dyDescent="0.2">
      <c r="A650" t="s">
        <v>1755</v>
      </c>
      <c r="B650">
        <v>2172</v>
      </c>
      <c r="C650" t="s">
        <v>2059</v>
      </c>
      <c r="D650" t="s">
        <v>2066</v>
      </c>
      <c r="E650" t="s">
        <v>2082</v>
      </c>
      <c r="F650" t="s">
        <v>36</v>
      </c>
      <c r="G650" t="s">
        <v>1756</v>
      </c>
      <c r="I650">
        <v>95.580110497237598</v>
      </c>
      <c r="J650" t="s">
        <v>2063</v>
      </c>
      <c r="K650">
        <v>12</v>
      </c>
      <c r="L650">
        <v>1</v>
      </c>
      <c r="M650" t="s">
        <v>7</v>
      </c>
      <c r="N650" t="s">
        <v>2038</v>
      </c>
      <c r="O650" t="s">
        <v>10</v>
      </c>
    </row>
    <row r="651" spans="1:16" hidden="1" x14ac:dyDescent="0.2">
      <c r="A651" t="s">
        <v>1108</v>
      </c>
      <c r="B651">
        <v>1310</v>
      </c>
      <c r="C651" t="s">
        <v>2059</v>
      </c>
      <c r="D651" t="s">
        <v>2066</v>
      </c>
      <c r="E651" t="s">
        <v>2082</v>
      </c>
      <c r="F651" t="s">
        <v>36</v>
      </c>
      <c r="G651" t="s">
        <v>747</v>
      </c>
      <c r="I651">
        <v>96.067415730337103</v>
      </c>
      <c r="J651" t="s">
        <v>2063</v>
      </c>
      <c r="K651">
        <v>12</v>
      </c>
      <c r="L651">
        <v>0.34285714285714303</v>
      </c>
      <c r="M651" t="s">
        <v>7</v>
      </c>
      <c r="N651" t="s">
        <v>2038</v>
      </c>
      <c r="O651" t="s">
        <v>10</v>
      </c>
    </row>
    <row r="652" spans="1:16" hidden="1" x14ac:dyDescent="0.2">
      <c r="A652" t="s">
        <v>618</v>
      </c>
      <c r="B652">
        <v>625</v>
      </c>
      <c r="C652" t="s">
        <v>2059</v>
      </c>
      <c r="D652" t="s">
        <v>2066</v>
      </c>
      <c r="E652" t="s">
        <v>2082</v>
      </c>
      <c r="F652" t="s">
        <v>36</v>
      </c>
      <c r="G652" t="s">
        <v>620</v>
      </c>
      <c r="H652" t="s">
        <v>621</v>
      </c>
      <c r="I652">
        <v>98.342541436464103</v>
      </c>
      <c r="J652" t="s">
        <v>2063</v>
      </c>
      <c r="K652">
        <v>29</v>
      </c>
      <c r="L652">
        <v>0.707317073170732</v>
      </c>
      <c r="M652" t="s">
        <v>8</v>
      </c>
      <c r="N652" t="s">
        <v>2038</v>
      </c>
      <c r="O652" t="s">
        <v>10</v>
      </c>
      <c r="P652" t="s">
        <v>2297</v>
      </c>
    </row>
    <row r="653" spans="1:16" hidden="1" x14ac:dyDescent="0.2">
      <c r="A653" t="s">
        <v>1351</v>
      </c>
      <c r="B653">
        <v>1606</v>
      </c>
      <c r="C653" t="s">
        <v>2059</v>
      </c>
      <c r="D653" t="s">
        <v>2066</v>
      </c>
      <c r="E653" t="s">
        <v>2082</v>
      </c>
      <c r="F653" t="s">
        <v>36</v>
      </c>
      <c r="G653" t="s">
        <v>1352</v>
      </c>
      <c r="I653">
        <v>95.580110497237598</v>
      </c>
      <c r="J653" t="s">
        <v>2063</v>
      </c>
      <c r="K653">
        <v>5</v>
      </c>
      <c r="L653">
        <v>0.5</v>
      </c>
      <c r="M653" t="s">
        <v>7</v>
      </c>
      <c r="N653" t="s">
        <v>2038</v>
      </c>
      <c r="O653" t="s">
        <v>10</v>
      </c>
    </row>
    <row r="654" spans="1:16" hidden="1" x14ac:dyDescent="0.2">
      <c r="A654" t="s">
        <v>928</v>
      </c>
      <c r="B654">
        <v>1036</v>
      </c>
      <c r="C654" t="s">
        <v>2059</v>
      </c>
      <c r="D654" t="s">
        <v>2066</v>
      </c>
      <c r="E654" t="s">
        <v>2082</v>
      </c>
      <c r="F654" t="s">
        <v>36</v>
      </c>
      <c r="G654" t="s">
        <v>37</v>
      </c>
      <c r="H654" t="s">
        <v>38</v>
      </c>
      <c r="I654">
        <v>97.237569060773495</v>
      </c>
      <c r="J654" t="s">
        <v>2063</v>
      </c>
      <c r="K654">
        <v>1</v>
      </c>
      <c r="L654">
        <v>0.5</v>
      </c>
      <c r="M654" t="s">
        <v>8</v>
      </c>
      <c r="N654" t="s">
        <v>2038</v>
      </c>
      <c r="O654" t="s">
        <v>10</v>
      </c>
      <c r="P654" t="s">
        <v>2400</v>
      </c>
    </row>
    <row r="655" spans="1:16" hidden="1" x14ac:dyDescent="0.2">
      <c r="A655" t="s">
        <v>1758</v>
      </c>
      <c r="B655">
        <v>2175</v>
      </c>
      <c r="C655" t="s">
        <v>2059</v>
      </c>
      <c r="D655" t="s">
        <v>2066</v>
      </c>
      <c r="E655" t="s">
        <v>2082</v>
      </c>
      <c r="F655" t="s">
        <v>36</v>
      </c>
      <c r="I655">
        <v>94.972067039106193</v>
      </c>
      <c r="J655" t="s">
        <v>2063</v>
      </c>
      <c r="K655">
        <v>23</v>
      </c>
      <c r="L655">
        <v>0.46</v>
      </c>
      <c r="M655" t="s">
        <v>2052</v>
      </c>
      <c r="N655" t="s">
        <v>2038</v>
      </c>
      <c r="O655" t="s">
        <v>10</v>
      </c>
    </row>
    <row r="656" spans="1:16" hidden="1" x14ac:dyDescent="0.2">
      <c r="A656" t="s">
        <v>428</v>
      </c>
      <c r="B656">
        <v>365</v>
      </c>
      <c r="C656" t="s">
        <v>2059</v>
      </c>
      <c r="D656" t="s">
        <v>2066</v>
      </c>
      <c r="E656" t="s">
        <v>2082</v>
      </c>
      <c r="F656" t="s">
        <v>2219</v>
      </c>
      <c r="G656" t="s">
        <v>2220</v>
      </c>
      <c r="H656" t="s">
        <v>2221</v>
      </c>
      <c r="I656">
        <v>98.342541436464103</v>
      </c>
      <c r="J656" t="s">
        <v>2063</v>
      </c>
      <c r="K656">
        <v>7</v>
      </c>
      <c r="L656">
        <v>0.33333333333333298</v>
      </c>
      <c r="M656" t="s">
        <v>8</v>
      </c>
      <c r="N656" t="s">
        <v>2038</v>
      </c>
      <c r="O656" t="s">
        <v>10</v>
      </c>
      <c r="P656" t="s">
        <v>2222</v>
      </c>
    </row>
    <row r="657" spans="1:16" hidden="1" x14ac:dyDescent="0.2">
      <c r="A657" t="s">
        <v>1546</v>
      </c>
      <c r="B657">
        <v>1893</v>
      </c>
      <c r="C657" t="s">
        <v>2059</v>
      </c>
      <c r="D657" t="s">
        <v>2066</v>
      </c>
      <c r="E657" t="s">
        <v>2082</v>
      </c>
      <c r="F657" t="s">
        <v>2567</v>
      </c>
      <c r="G657" t="s">
        <v>2568</v>
      </c>
      <c r="I657">
        <v>97.191011235955102</v>
      </c>
      <c r="J657" t="s">
        <v>2063</v>
      </c>
      <c r="K657">
        <v>17</v>
      </c>
      <c r="L657">
        <v>0.45945945945945998</v>
      </c>
      <c r="M657" t="s">
        <v>7</v>
      </c>
      <c r="N657" t="s">
        <v>2038</v>
      </c>
      <c r="O657" t="s">
        <v>10</v>
      </c>
    </row>
    <row r="658" spans="1:16" hidden="1" x14ac:dyDescent="0.2">
      <c r="A658" t="s">
        <v>87</v>
      </c>
      <c r="B658">
        <v>46</v>
      </c>
      <c r="C658" t="s">
        <v>2059</v>
      </c>
      <c r="D658" t="s">
        <v>2066</v>
      </c>
      <c r="E658" t="s">
        <v>2082</v>
      </c>
      <c r="F658" t="s">
        <v>2105</v>
      </c>
      <c r="G658" t="s">
        <v>89</v>
      </c>
      <c r="H658" t="s">
        <v>90</v>
      </c>
      <c r="I658">
        <v>100</v>
      </c>
      <c r="J658" t="s">
        <v>2063</v>
      </c>
      <c r="K658">
        <v>50</v>
      </c>
      <c r="L658">
        <v>1</v>
      </c>
      <c r="M658" t="s">
        <v>8</v>
      </c>
      <c r="N658" t="s">
        <v>2038</v>
      </c>
      <c r="O658" t="s">
        <v>10</v>
      </c>
      <c r="P658" t="s">
        <v>2106</v>
      </c>
    </row>
    <row r="659" spans="1:16" hidden="1" x14ac:dyDescent="0.2">
      <c r="A659" t="s">
        <v>441</v>
      </c>
      <c r="B659">
        <v>376</v>
      </c>
      <c r="C659" t="s">
        <v>2059</v>
      </c>
      <c r="D659" t="s">
        <v>2066</v>
      </c>
      <c r="E659" t="s">
        <v>2082</v>
      </c>
      <c r="F659" t="s">
        <v>2105</v>
      </c>
      <c r="G659" t="s">
        <v>89</v>
      </c>
      <c r="H659" t="s">
        <v>90</v>
      </c>
      <c r="I659">
        <v>98.895027624309407</v>
      </c>
      <c r="J659" t="s">
        <v>2063</v>
      </c>
      <c r="K659">
        <v>50</v>
      </c>
      <c r="L659">
        <v>1</v>
      </c>
      <c r="M659" t="s">
        <v>8</v>
      </c>
      <c r="N659" t="s">
        <v>2038</v>
      </c>
      <c r="O659" t="s">
        <v>10</v>
      </c>
      <c r="P659" t="s">
        <v>2106</v>
      </c>
    </row>
    <row r="660" spans="1:16" hidden="1" x14ac:dyDescent="0.2">
      <c r="A660" t="s">
        <v>442</v>
      </c>
      <c r="B660">
        <v>377</v>
      </c>
      <c r="C660" t="s">
        <v>2059</v>
      </c>
      <c r="D660" t="s">
        <v>2066</v>
      </c>
      <c r="E660" t="s">
        <v>2082</v>
      </c>
      <c r="F660" t="s">
        <v>2105</v>
      </c>
      <c r="G660" t="s">
        <v>89</v>
      </c>
      <c r="H660" t="s">
        <v>90</v>
      </c>
      <c r="I660">
        <v>98.3333333333333</v>
      </c>
      <c r="J660" t="s">
        <v>2063</v>
      </c>
      <c r="K660">
        <v>50</v>
      </c>
      <c r="L660">
        <v>1</v>
      </c>
      <c r="M660" t="s">
        <v>8</v>
      </c>
      <c r="N660" t="s">
        <v>2038</v>
      </c>
      <c r="O660" t="s">
        <v>10</v>
      </c>
      <c r="P660" t="s">
        <v>2106</v>
      </c>
    </row>
    <row r="661" spans="1:16" hidden="1" x14ac:dyDescent="0.2">
      <c r="A661" t="s">
        <v>592</v>
      </c>
      <c r="B661">
        <v>602</v>
      </c>
      <c r="C661" t="s">
        <v>2059</v>
      </c>
      <c r="D661" t="s">
        <v>2066</v>
      </c>
      <c r="E661" t="s">
        <v>2082</v>
      </c>
      <c r="F661" t="s">
        <v>2105</v>
      </c>
      <c r="G661" t="s">
        <v>89</v>
      </c>
      <c r="H661" t="s">
        <v>90</v>
      </c>
      <c r="I661">
        <v>97.790055248618799</v>
      </c>
      <c r="J661" t="s">
        <v>2063</v>
      </c>
      <c r="K661">
        <v>39</v>
      </c>
      <c r="L661">
        <v>1</v>
      </c>
      <c r="M661" t="s">
        <v>8</v>
      </c>
      <c r="N661" t="s">
        <v>2038</v>
      </c>
      <c r="O661" t="s">
        <v>10</v>
      </c>
      <c r="P661" t="s">
        <v>2106</v>
      </c>
    </row>
    <row r="662" spans="1:16" hidden="1" x14ac:dyDescent="0.2">
      <c r="A662" t="s">
        <v>846</v>
      </c>
      <c r="B662">
        <v>909</v>
      </c>
      <c r="C662" t="s">
        <v>2059</v>
      </c>
      <c r="D662" t="s">
        <v>2066</v>
      </c>
      <c r="E662" t="s">
        <v>2082</v>
      </c>
      <c r="F662" t="s">
        <v>2105</v>
      </c>
      <c r="G662" t="s">
        <v>89</v>
      </c>
      <c r="H662" t="s">
        <v>90</v>
      </c>
      <c r="I662">
        <v>98.895027624309407</v>
      </c>
      <c r="J662" t="s">
        <v>2063</v>
      </c>
      <c r="K662">
        <v>46</v>
      </c>
      <c r="L662">
        <v>1</v>
      </c>
      <c r="M662" t="s">
        <v>8</v>
      </c>
      <c r="N662" t="s">
        <v>2038</v>
      </c>
      <c r="O662" t="s">
        <v>10</v>
      </c>
      <c r="P662" t="s">
        <v>2106</v>
      </c>
    </row>
    <row r="663" spans="1:16" hidden="1" x14ac:dyDescent="0.2">
      <c r="A663" t="s">
        <v>500</v>
      </c>
      <c r="B663">
        <v>478</v>
      </c>
      <c r="C663" t="s">
        <v>2059</v>
      </c>
      <c r="D663" t="s">
        <v>2066</v>
      </c>
      <c r="E663" t="s">
        <v>2082</v>
      </c>
      <c r="F663" t="s">
        <v>2105</v>
      </c>
      <c r="G663" t="s">
        <v>89</v>
      </c>
      <c r="I663">
        <v>96.6480446927374</v>
      </c>
      <c r="J663" t="s">
        <v>2063</v>
      </c>
      <c r="K663">
        <v>30</v>
      </c>
      <c r="L663">
        <v>0.66666666666666696</v>
      </c>
      <c r="M663" t="s">
        <v>7</v>
      </c>
      <c r="N663" t="s">
        <v>2038</v>
      </c>
      <c r="O663" t="s">
        <v>10</v>
      </c>
    </row>
    <row r="664" spans="1:16" hidden="1" x14ac:dyDescent="0.2">
      <c r="A664" t="s">
        <v>1847</v>
      </c>
      <c r="B664">
        <v>2269</v>
      </c>
      <c r="C664" t="s">
        <v>2059</v>
      </c>
      <c r="D664" t="s">
        <v>2066</v>
      </c>
      <c r="E664" t="s">
        <v>2082</v>
      </c>
      <c r="F664" t="s">
        <v>33</v>
      </c>
      <c r="G664" t="s">
        <v>560</v>
      </c>
      <c r="I664">
        <v>95.530726256983201</v>
      </c>
      <c r="J664" t="s">
        <v>2063</v>
      </c>
      <c r="K664">
        <v>4</v>
      </c>
      <c r="L664">
        <v>1</v>
      </c>
      <c r="M664" t="s">
        <v>7</v>
      </c>
      <c r="N664" t="s">
        <v>2038</v>
      </c>
      <c r="O664" t="s">
        <v>10</v>
      </c>
    </row>
    <row r="665" spans="1:16" hidden="1" x14ac:dyDescent="0.2">
      <c r="A665" t="s">
        <v>1641</v>
      </c>
      <c r="B665">
        <v>2008</v>
      </c>
      <c r="C665" t="s">
        <v>2059</v>
      </c>
      <c r="D665" t="s">
        <v>2066</v>
      </c>
      <c r="E665" t="s">
        <v>2082</v>
      </c>
      <c r="F665" t="s">
        <v>33</v>
      </c>
      <c r="G665" t="s">
        <v>1642</v>
      </c>
      <c r="H665" t="s">
        <v>2595</v>
      </c>
      <c r="I665">
        <v>99.447513812154696</v>
      </c>
      <c r="J665" t="s">
        <v>2063</v>
      </c>
      <c r="K665">
        <v>9</v>
      </c>
      <c r="L665">
        <v>0.5</v>
      </c>
      <c r="M665" t="s">
        <v>8</v>
      </c>
      <c r="N665" t="s">
        <v>2038</v>
      </c>
      <c r="O665" t="s">
        <v>10</v>
      </c>
      <c r="P665" t="s">
        <v>2446</v>
      </c>
    </row>
    <row r="666" spans="1:16" hidden="1" x14ac:dyDescent="0.2">
      <c r="A666" t="s">
        <v>1073</v>
      </c>
      <c r="B666">
        <v>1274</v>
      </c>
      <c r="C666" t="s">
        <v>2059</v>
      </c>
      <c r="D666" t="s">
        <v>2066</v>
      </c>
      <c r="E666" t="s">
        <v>2082</v>
      </c>
      <c r="F666" t="s">
        <v>33</v>
      </c>
      <c r="G666" t="s">
        <v>1642</v>
      </c>
      <c r="H666" t="s">
        <v>1643</v>
      </c>
      <c r="I666">
        <v>97.1098265895954</v>
      </c>
      <c r="J666" t="s">
        <v>2113</v>
      </c>
      <c r="K666">
        <v>4</v>
      </c>
      <c r="L666">
        <v>0.4</v>
      </c>
      <c r="M666" t="s">
        <v>8</v>
      </c>
      <c r="N666" t="s">
        <v>2038</v>
      </c>
      <c r="O666" t="s">
        <v>10</v>
      </c>
      <c r="P666" t="s">
        <v>2446</v>
      </c>
    </row>
    <row r="667" spans="1:16" hidden="1" x14ac:dyDescent="0.2">
      <c r="A667" t="s">
        <v>1129</v>
      </c>
      <c r="B667">
        <v>1341</v>
      </c>
      <c r="C667" t="s">
        <v>2059</v>
      </c>
      <c r="D667" t="s">
        <v>2066</v>
      </c>
      <c r="E667" t="s">
        <v>2082</v>
      </c>
      <c r="F667" t="s">
        <v>33</v>
      </c>
      <c r="G667" t="s">
        <v>1059</v>
      </c>
      <c r="I667">
        <v>96.1111111111111</v>
      </c>
      <c r="J667" t="s">
        <v>2063</v>
      </c>
      <c r="K667">
        <v>16</v>
      </c>
      <c r="L667">
        <v>0.5</v>
      </c>
      <c r="M667" t="s">
        <v>7</v>
      </c>
      <c r="N667" t="s">
        <v>2038</v>
      </c>
      <c r="O667" t="s">
        <v>10</v>
      </c>
    </row>
    <row r="668" spans="1:16" hidden="1" x14ac:dyDescent="0.2">
      <c r="A668" t="s">
        <v>140</v>
      </c>
      <c r="B668">
        <v>79</v>
      </c>
      <c r="C668" t="s">
        <v>2059</v>
      </c>
      <c r="D668" t="s">
        <v>2066</v>
      </c>
      <c r="E668" t="s">
        <v>2082</v>
      </c>
      <c r="F668" t="s">
        <v>33</v>
      </c>
      <c r="G668" t="s">
        <v>2123</v>
      </c>
      <c r="I668">
        <v>95.530726256983201</v>
      </c>
      <c r="J668" t="s">
        <v>2063</v>
      </c>
      <c r="K668">
        <v>3</v>
      </c>
      <c r="L668">
        <v>0.375</v>
      </c>
      <c r="M668" t="s">
        <v>7</v>
      </c>
      <c r="N668" t="s">
        <v>2038</v>
      </c>
      <c r="O668" t="s">
        <v>10</v>
      </c>
    </row>
    <row r="669" spans="1:16" hidden="1" x14ac:dyDescent="0.2">
      <c r="A669" t="s">
        <v>379</v>
      </c>
      <c r="B669">
        <v>297</v>
      </c>
      <c r="C669" t="s">
        <v>2059</v>
      </c>
      <c r="D669" t="s">
        <v>2066</v>
      </c>
      <c r="E669" t="s">
        <v>2082</v>
      </c>
      <c r="F669" t="s">
        <v>33</v>
      </c>
      <c r="G669" t="s">
        <v>382</v>
      </c>
      <c r="H669" t="s">
        <v>383</v>
      </c>
      <c r="I669">
        <v>97.2222222222222</v>
      </c>
      <c r="J669" t="s">
        <v>2063</v>
      </c>
      <c r="K669">
        <v>10</v>
      </c>
      <c r="L669">
        <v>0.71428571428571397</v>
      </c>
      <c r="M669" t="s">
        <v>8</v>
      </c>
      <c r="N669" t="s">
        <v>2038</v>
      </c>
      <c r="O669" t="s">
        <v>10</v>
      </c>
      <c r="P669" t="s">
        <v>2205</v>
      </c>
    </row>
    <row r="670" spans="1:16" hidden="1" x14ac:dyDescent="0.2">
      <c r="A670" t="s">
        <v>601</v>
      </c>
      <c r="B670">
        <v>610</v>
      </c>
      <c r="C670" t="s">
        <v>2059</v>
      </c>
      <c r="D670" t="s">
        <v>2066</v>
      </c>
      <c r="E670" t="s">
        <v>2082</v>
      </c>
      <c r="F670" t="s">
        <v>33</v>
      </c>
      <c r="G670" t="s">
        <v>2291</v>
      </c>
      <c r="I670">
        <v>96.6666666666667</v>
      </c>
      <c r="J670" t="s">
        <v>2063</v>
      </c>
      <c r="K670">
        <v>13</v>
      </c>
      <c r="L670">
        <v>0.34210526315789502</v>
      </c>
      <c r="M670" t="s">
        <v>7</v>
      </c>
      <c r="N670" t="s">
        <v>2038</v>
      </c>
      <c r="O670" t="s">
        <v>10</v>
      </c>
    </row>
    <row r="671" spans="1:16" hidden="1" x14ac:dyDescent="0.2">
      <c r="A671" t="s">
        <v>494</v>
      </c>
      <c r="B671">
        <v>468</v>
      </c>
      <c r="C671" t="s">
        <v>2059</v>
      </c>
      <c r="D671" t="s">
        <v>2066</v>
      </c>
      <c r="E671" t="s">
        <v>2082</v>
      </c>
      <c r="F671" t="s">
        <v>33</v>
      </c>
      <c r="G671" t="s">
        <v>497</v>
      </c>
      <c r="H671" t="s">
        <v>498</v>
      </c>
      <c r="I671">
        <v>98.342541436464103</v>
      </c>
      <c r="J671" t="s">
        <v>2063</v>
      </c>
      <c r="K671">
        <v>11</v>
      </c>
      <c r="L671">
        <v>0.42307692307692302</v>
      </c>
      <c r="M671" t="s">
        <v>8</v>
      </c>
      <c r="N671" t="s">
        <v>2038</v>
      </c>
      <c r="O671" t="s">
        <v>10</v>
      </c>
      <c r="P671" t="s">
        <v>2250</v>
      </c>
    </row>
    <row r="672" spans="1:16" hidden="1" x14ac:dyDescent="0.2">
      <c r="A672" t="s">
        <v>559</v>
      </c>
      <c r="B672">
        <v>563</v>
      </c>
      <c r="C672" t="s">
        <v>2059</v>
      </c>
      <c r="D672" t="s">
        <v>2066</v>
      </c>
      <c r="E672" t="s">
        <v>2082</v>
      </c>
      <c r="F672" t="s">
        <v>33</v>
      </c>
      <c r="G672" t="s">
        <v>497</v>
      </c>
      <c r="I672">
        <v>95.027624309392294</v>
      </c>
      <c r="J672" t="s">
        <v>2063</v>
      </c>
      <c r="K672">
        <v>14</v>
      </c>
      <c r="L672">
        <v>0.32558139534883701</v>
      </c>
      <c r="M672" t="s">
        <v>7</v>
      </c>
      <c r="N672" t="s">
        <v>2038</v>
      </c>
      <c r="O672" t="s">
        <v>10</v>
      </c>
    </row>
    <row r="673" spans="1:16" hidden="1" x14ac:dyDescent="0.2">
      <c r="A673" t="s">
        <v>836</v>
      </c>
      <c r="B673">
        <v>898</v>
      </c>
      <c r="C673" t="s">
        <v>2059</v>
      </c>
      <c r="D673" t="s">
        <v>2066</v>
      </c>
      <c r="E673" t="s">
        <v>2082</v>
      </c>
      <c r="F673" t="s">
        <v>33</v>
      </c>
      <c r="G673" t="s">
        <v>837</v>
      </c>
      <c r="H673" t="s">
        <v>838</v>
      </c>
      <c r="I673">
        <v>97.2222222222222</v>
      </c>
      <c r="J673" t="s">
        <v>2063</v>
      </c>
      <c r="K673">
        <v>5</v>
      </c>
      <c r="L673">
        <v>0.625</v>
      </c>
      <c r="M673" t="s">
        <v>8</v>
      </c>
      <c r="N673" t="s">
        <v>2038</v>
      </c>
      <c r="O673" t="s">
        <v>10</v>
      </c>
      <c r="P673" t="s">
        <v>2365</v>
      </c>
    </row>
    <row r="674" spans="1:16" hidden="1" x14ac:dyDescent="0.2">
      <c r="A674" t="s">
        <v>505</v>
      </c>
      <c r="B674">
        <v>482</v>
      </c>
      <c r="C674" t="s">
        <v>2059</v>
      </c>
      <c r="D674" t="s">
        <v>2066</v>
      </c>
      <c r="E674" t="s">
        <v>2082</v>
      </c>
      <c r="F674" t="s">
        <v>33</v>
      </c>
      <c r="G674" t="s">
        <v>2252</v>
      </c>
      <c r="H674" t="s">
        <v>2253</v>
      </c>
      <c r="I674">
        <v>98.324022346368693</v>
      </c>
      <c r="J674" t="s">
        <v>2113</v>
      </c>
      <c r="K674">
        <v>2</v>
      </c>
      <c r="L674">
        <v>0.33333333333333298</v>
      </c>
      <c r="M674" t="s">
        <v>8</v>
      </c>
      <c r="N674" t="s">
        <v>2038</v>
      </c>
      <c r="O674" t="s">
        <v>10</v>
      </c>
      <c r="P674" t="s">
        <v>2254</v>
      </c>
    </row>
    <row r="675" spans="1:16" hidden="1" x14ac:dyDescent="0.2">
      <c r="A675" t="s">
        <v>534</v>
      </c>
      <c r="B675">
        <v>525</v>
      </c>
      <c r="C675" t="s">
        <v>2059</v>
      </c>
      <c r="D675" t="s">
        <v>2066</v>
      </c>
      <c r="E675" t="s">
        <v>2082</v>
      </c>
      <c r="F675" t="s">
        <v>33</v>
      </c>
      <c r="G675" t="s">
        <v>2252</v>
      </c>
      <c r="H675" t="s">
        <v>2253</v>
      </c>
      <c r="I675">
        <v>97.2222222222222</v>
      </c>
      <c r="J675" t="s">
        <v>2113</v>
      </c>
      <c r="K675">
        <v>2</v>
      </c>
      <c r="L675">
        <v>1</v>
      </c>
      <c r="M675" t="s">
        <v>8</v>
      </c>
      <c r="N675" t="s">
        <v>2038</v>
      </c>
      <c r="O675" t="s">
        <v>10</v>
      </c>
      <c r="P675" t="s">
        <v>2254</v>
      </c>
    </row>
    <row r="676" spans="1:16" hidden="1" x14ac:dyDescent="0.2">
      <c r="A676" t="s">
        <v>973</v>
      </c>
      <c r="B676">
        <v>1125</v>
      </c>
      <c r="C676" t="s">
        <v>2059</v>
      </c>
      <c r="D676" t="s">
        <v>2066</v>
      </c>
      <c r="E676" t="s">
        <v>2082</v>
      </c>
      <c r="F676" t="s">
        <v>33</v>
      </c>
      <c r="G676" t="s">
        <v>2252</v>
      </c>
      <c r="H676" t="s">
        <v>2253</v>
      </c>
      <c r="I676">
        <v>97.7777777777778</v>
      </c>
      <c r="J676" t="s">
        <v>2113</v>
      </c>
      <c r="K676">
        <v>2</v>
      </c>
      <c r="L676">
        <v>1</v>
      </c>
      <c r="M676" t="s">
        <v>8</v>
      </c>
      <c r="N676" t="s">
        <v>2038</v>
      </c>
      <c r="O676" t="s">
        <v>10</v>
      </c>
      <c r="P676" t="s">
        <v>2254</v>
      </c>
    </row>
    <row r="677" spans="1:16" hidden="1" x14ac:dyDescent="0.2">
      <c r="A677" t="s">
        <v>1331</v>
      </c>
      <c r="B677">
        <v>1577</v>
      </c>
      <c r="C677" t="s">
        <v>2059</v>
      </c>
      <c r="D677" t="s">
        <v>2066</v>
      </c>
      <c r="E677" t="s">
        <v>2082</v>
      </c>
      <c r="F677" t="s">
        <v>33</v>
      </c>
      <c r="G677" t="s">
        <v>2252</v>
      </c>
      <c r="H677" t="s">
        <v>2253</v>
      </c>
      <c r="I677">
        <v>97.7777777777778</v>
      </c>
      <c r="J677" t="s">
        <v>2113</v>
      </c>
      <c r="K677">
        <v>2</v>
      </c>
      <c r="L677">
        <v>1</v>
      </c>
      <c r="M677" t="s">
        <v>8</v>
      </c>
      <c r="N677" t="s">
        <v>2038</v>
      </c>
      <c r="O677" t="s">
        <v>10</v>
      </c>
      <c r="P677" t="s">
        <v>2254</v>
      </c>
    </row>
    <row r="678" spans="1:16" hidden="1" x14ac:dyDescent="0.2">
      <c r="A678" t="s">
        <v>1654</v>
      </c>
      <c r="B678">
        <v>2030</v>
      </c>
      <c r="C678" t="s">
        <v>2059</v>
      </c>
      <c r="D678" t="s">
        <v>2066</v>
      </c>
      <c r="E678" t="s">
        <v>2082</v>
      </c>
      <c r="F678" t="s">
        <v>33</v>
      </c>
      <c r="G678" t="s">
        <v>2252</v>
      </c>
      <c r="H678" t="s">
        <v>2253</v>
      </c>
      <c r="I678">
        <v>97.2222222222222</v>
      </c>
      <c r="J678" t="s">
        <v>2113</v>
      </c>
      <c r="K678">
        <v>2</v>
      </c>
      <c r="L678">
        <v>1</v>
      </c>
      <c r="M678" t="s">
        <v>8</v>
      </c>
      <c r="N678" t="s">
        <v>2038</v>
      </c>
      <c r="O678" t="s">
        <v>10</v>
      </c>
      <c r="P678" t="s">
        <v>2254</v>
      </c>
    </row>
    <row r="679" spans="1:16" hidden="1" x14ac:dyDescent="0.2">
      <c r="A679" t="s">
        <v>249</v>
      </c>
      <c r="B679">
        <v>175</v>
      </c>
      <c r="C679" t="s">
        <v>2059</v>
      </c>
      <c r="D679" t="s">
        <v>2066</v>
      </c>
      <c r="E679" t="s">
        <v>2082</v>
      </c>
      <c r="F679" t="s">
        <v>33</v>
      </c>
      <c r="G679" t="s">
        <v>252</v>
      </c>
      <c r="H679" t="s">
        <v>253</v>
      </c>
      <c r="I679">
        <v>100</v>
      </c>
      <c r="J679" t="s">
        <v>2063</v>
      </c>
      <c r="K679">
        <v>43</v>
      </c>
      <c r="L679">
        <v>0.89583333333333304</v>
      </c>
      <c r="M679" t="s">
        <v>8</v>
      </c>
      <c r="N679" t="s">
        <v>2038</v>
      </c>
      <c r="O679" t="s">
        <v>10</v>
      </c>
      <c r="P679" t="s">
        <v>2157</v>
      </c>
    </row>
    <row r="680" spans="1:16" hidden="1" x14ac:dyDescent="0.2">
      <c r="A680" t="s">
        <v>913</v>
      </c>
      <c r="B680">
        <v>1019</v>
      </c>
      <c r="C680" t="s">
        <v>2059</v>
      </c>
      <c r="D680" t="s">
        <v>2066</v>
      </c>
      <c r="E680" t="s">
        <v>2082</v>
      </c>
      <c r="F680" t="s">
        <v>33</v>
      </c>
      <c r="G680" t="s">
        <v>914</v>
      </c>
      <c r="I680">
        <v>95.580110497237598</v>
      </c>
      <c r="J680" t="s">
        <v>2063</v>
      </c>
      <c r="K680">
        <v>23</v>
      </c>
      <c r="L680">
        <v>0.547619047619048</v>
      </c>
      <c r="M680" t="s">
        <v>7</v>
      </c>
      <c r="N680" t="s">
        <v>2038</v>
      </c>
      <c r="O680" t="s">
        <v>10</v>
      </c>
    </row>
    <row r="681" spans="1:16" hidden="1" x14ac:dyDescent="0.2">
      <c r="A681" t="s">
        <v>32</v>
      </c>
      <c r="B681">
        <v>17</v>
      </c>
      <c r="C681" t="s">
        <v>2059</v>
      </c>
      <c r="D681" t="s">
        <v>2066</v>
      </c>
      <c r="E681" t="s">
        <v>2082</v>
      </c>
      <c r="F681" t="s">
        <v>33</v>
      </c>
      <c r="G681" t="s">
        <v>2083</v>
      </c>
      <c r="H681" t="s">
        <v>2084</v>
      </c>
      <c r="I681">
        <v>97.2222222222222</v>
      </c>
      <c r="J681" t="s">
        <v>2063</v>
      </c>
      <c r="K681">
        <v>4</v>
      </c>
      <c r="L681">
        <v>0.57142857142857095</v>
      </c>
      <c r="M681" t="s">
        <v>8</v>
      </c>
      <c r="N681" t="s">
        <v>2038</v>
      </c>
      <c r="O681" t="s">
        <v>10</v>
      </c>
      <c r="P681" t="s">
        <v>2085</v>
      </c>
    </row>
    <row r="682" spans="1:16" hidden="1" x14ac:dyDescent="0.2">
      <c r="A682" t="s">
        <v>1966</v>
      </c>
      <c r="B682">
        <v>2472</v>
      </c>
      <c r="C682" t="s">
        <v>2059</v>
      </c>
      <c r="D682" t="s">
        <v>2066</v>
      </c>
      <c r="E682" t="s">
        <v>2082</v>
      </c>
      <c r="F682" t="s">
        <v>33</v>
      </c>
      <c r="G682" t="s">
        <v>2083</v>
      </c>
      <c r="H682" t="s">
        <v>2084</v>
      </c>
      <c r="I682">
        <v>97.159090909090907</v>
      </c>
      <c r="J682" t="s">
        <v>2063</v>
      </c>
      <c r="K682">
        <v>4</v>
      </c>
      <c r="L682">
        <v>0.57142857142857095</v>
      </c>
      <c r="M682" t="s">
        <v>8</v>
      </c>
      <c r="N682" t="s">
        <v>2038</v>
      </c>
      <c r="O682" t="s">
        <v>10</v>
      </c>
      <c r="P682" t="s">
        <v>2085</v>
      </c>
    </row>
    <row r="683" spans="1:16" hidden="1" x14ac:dyDescent="0.2">
      <c r="A683" t="s">
        <v>169</v>
      </c>
      <c r="B683">
        <v>118</v>
      </c>
      <c r="C683" t="s">
        <v>2059</v>
      </c>
      <c r="D683" t="s">
        <v>2066</v>
      </c>
      <c r="E683" t="s">
        <v>2082</v>
      </c>
      <c r="F683" t="s">
        <v>33</v>
      </c>
      <c r="G683" t="s">
        <v>170</v>
      </c>
      <c r="H683" t="s">
        <v>171</v>
      </c>
      <c r="I683">
        <v>99.447513812154696</v>
      </c>
      <c r="J683" t="s">
        <v>2063</v>
      </c>
      <c r="K683">
        <v>35</v>
      </c>
      <c r="L683">
        <v>0.85365853658536595</v>
      </c>
      <c r="M683" t="s">
        <v>8</v>
      </c>
      <c r="N683" t="s">
        <v>2038</v>
      </c>
      <c r="O683" t="s">
        <v>10</v>
      </c>
      <c r="P683" t="s">
        <v>2138</v>
      </c>
    </row>
    <row r="684" spans="1:16" hidden="1" x14ac:dyDescent="0.2">
      <c r="A684" t="s">
        <v>392</v>
      </c>
      <c r="B684">
        <v>310</v>
      </c>
      <c r="C684" t="s">
        <v>2059</v>
      </c>
      <c r="D684" t="s">
        <v>2066</v>
      </c>
      <c r="E684" t="s">
        <v>2082</v>
      </c>
      <c r="F684" t="s">
        <v>33</v>
      </c>
      <c r="G684" t="s">
        <v>170</v>
      </c>
      <c r="H684" t="s">
        <v>171</v>
      </c>
      <c r="I684">
        <v>100</v>
      </c>
      <c r="J684" t="s">
        <v>2063</v>
      </c>
      <c r="K684">
        <v>35</v>
      </c>
      <c r="L684">
        <v>0.85365853658536595</v>
      </c>
      <c r="M684" t="s">
        <v>8</v>
      </c>
      <c r="N684" t="s">
        <v>2038</v>
      </c>
      <c r="O684" t="s">
        <v>10</v>
      </c>
      <c r="P684" t="s">
        <v>2138</v>
      </c>
    </row>
    <row r="685" spans="1:16" hidden="1" x14ac:dyDescent="0.2">
      <c r="A685" t="s">
        <v>412</v>
      </c>
      <c r="B685">
        <v>334</v>
      </c>
      <c r="C685" t="s">
        <v>2059</v>
      </c>
      <c r="D685" t="s">
        <v>2066</v>
      </c>
      <c r="E685" t="s">
        <v>2082</v>
      </c>
      <c r="F685" t="s">
        <v>33</v>
      </c>
      <c r="G685" t="s">
        <v>170</v>
      </c>
      <c r="H685" t="s">
        <v>171</v>
      </c>
      <c r="I685">
        <v>98.895027624309407</v>
      </c>
      <c r="J685" t="s">
        <v>2063</v>
      </c>
      <c r="K685">
        <v>35</v>
      </c>
      <c r="L685">
        <v>0.85365853658536595</v>
      </c>
      <c r="M685" t="s">
        <v>8</v>
      </c>
      <c r="N685" t="s">
        <v>2038</v>
      </c>
      <c r="O685" t="s">
        <v>10</v>
      </c>
      <c r="P685" t="s">
        <v>2138</v>
      </c>
    </row>
    <row r="686" spans="1:16" hidden="1" x14ac:dyDescent="0.2">
      <c r="A686" t="s">
        <v>1239</v>
      </c>
      <c r="B686">
        <v>1484</v>
      </c>
      <c r="C686" t="s">
        <v>2059</v>
      </c>
      <c r="D686" t="s">
        <v>2066</v>
      </c>
      <c r="E686" t="s">
        <v>2082</v>
      </c>
      <c r="F686" t="s">
        <v>33</v>
      </c>
      <c r="G686" t="s">
        <v>170</v>
      </c>
      <c r="H686" t="s">
        <v>171</v>
      </c>
      <c r="I686">
        <v>98.342541436464103</v>
      </c>
      <c r="J686" t="s">
        <v>2063</v>
      </c>
      <c r="K686">
        <v>34</v>
      </c>
      <c r="L686">
        <v>0.85</v>
      </c>
      <c r="M686" t="s">
        <v>8</v>
      </c>
      <c r="N686" t="s">
        <v>2038</v>
      </c>
      <c r="O686" t="s">
        <v>10</v>
      </c>
      <c r="P686" t="s">
        <v>2138</v>
      </c>
    </row>
    <row r="687" spans="1:16" hidden="1" x14ac:dyDescent="0.2">
      <c r="A687" t="s">
        <v>1356</v>
      </c>
      <c r="B687">
        <v>1609</v>
      </c>
      <c r="C687" t="s">
        <v>2059</v>
      </c>
      <c r="D687" t="s">
        <v>2066</v>
      </c>
      <c r="E687" t="s">
        <v>2082</v>
      </c>
      <c r="F687" t="s">
        <v>431</v>
      </c>
      <c r="G687" t="s">
        <v>1357</v>
      </c>
      <c r="I687">
        <v>96.1111111111111</v>
      </c>
      <c r="J687" t="s">
        <v>2063</v>
      </c>
      <c r="K687">
        <v>5</v>
      </c>
      <c r="L687">
        <v>0.45454545454545398</v>
      </c>
      <c r="M687" t="s">
        <v>7</v>
      </c>
      <c r="N687" t="s">
        <v>2038</v>
      </c>
      <c r="O687" t="s">
        <v>10</v>
      </c>
    </row>
    <row r="688" spans="1:16" hidden="1" x14ac:dyDescent="0.2">
      <c r="A688" t="s">
        <v>1390</v>
      </c>
      <c r="B688">
        <v>1648</v>
      </c>
      <c r="C688" t="s">
        <v>2059</v>
      </c>
      <c r="D688" t="s">
        <v>2066</v>
      </c>
      <c r="E688" t="s">
        <v>2082</v>
      </c>
      <c r="F688" t="s">
        <v>431</v>
      </c>
      <c r="G688" t="s">
        <v>1357</v>
      </c>
      <c r="I688">
        <v>95.5555555555556</v>
      </c>
      <c r="J688" t="s">
        <v>2063</v>
      </c>
      <c r="K688">
        <v>5</v>
      </c>
      <c r="L688">
        <v>0.83333333333333304</v>
      </c>
      <c r="M688" t="s">
        <v>7</v>
      </c>
      <c r="N688" t="s">
        <v>2038</v>
      </c>
      <c r="O688" t="s">
        <v>10</v>
      </c>
    </row>
    <row r="689" spans="1:16" hidden="1" x14ac:dyDescent="0.2">
      <c r="A689" t="s">
        <v>709</v>
      </c>
      <c r="B689">
        <v>713</v>
      </c>
      <c r="C689" t="s">
        <v>2059</v>
      </c>
      <c r="D689" t="s">
        <v>2066</v>
      </c>
      <c r="E689" t="s">
        <v>2082</v>
      </c>
      <c r="F689" t="s">
        <v>431</v>
      </c>
      <c r="G689" t="s">
        <v>710</v>
      </c>
      <c r="I689">
        <v>97.2222222222222</v>
      </c>
      <c r="J689" t="s">
        <v>2063</v>
      </c>
      <c r="K689">
        <v>30</v>
      </c>
      <c r="L689">
        <v>0.69767441860465096</v>
      </c>
      <c r="M689" t="s">
        <v>7</v>
      </c>
      <c r="N689" t="s">
        <v>2038</v>
      </c>
      <c r="O689" t="s">
        <v>10</v>
      </c>
    </row>
    <row r="690" spans="1:16" hidden="1" x14ac:dyDescent="0.2">
      <c r="A690" t="s">
        <v>1350</v>
      </c>
      <c r="B690">
        <v>1599</v>
      </c>
      <c r="C690" t="s">
        <v>2059</v>
      </c>
      <c r="D690" t="s">
        <v>2066</v>
      </c>
      <c r="E690" t="s">
        <v>2082</v>
      </c>
      <c r="F690" t="s">
        <v>431</v>
      </c>
      <c r="G690" t="s">
        <v>710</v>
      </c>
      <c r="I690">
        <v>96.6666666666667</v>
      </c>
      <c r="J690" t="s">
        <v>2063</v>
      </c>
      <c r="K690">
        <v>18</v>
      </c>
      <c r="L690">
        <v>0.52941176470588203</v>
      </c>
      <c r="M690" t="s">
        <v>7</v>
      </c>
      <c r="N690" t="s">
        <v>2038</v>
      </c>
      <c r="O690" t="s">
        <v>10</v>
      </c>
    </row>
    <row r="691" spans="1:16" hidden="1" x14ac:dyDescent="0.2">
      <c r="A691" t="s">
        <v>1947</v>
      </c>
      <c r="B691">
        <v>2412</v>
      </c>
      <c r="C691" t="s">
        <v>2059</v>
      </c>
      <c r="D691" t="s">
        <v>2066</v>
      </c>
      <c r="E691" t="s">
        <v>2082</v>
      </c>
      <c r="F691" t="s">
        <v>431</v>
      </c>
      <c r="G691" t="s">
        <v>1948</v>
      </c>
      <c r="H691" t="s">
        <v>1949</v>
      </c>
      <c r="I691">
        <v>100</v>
      </c>
      <c r="J691" t="s">
        <v>2113</v>
      </c>
      <c r="K691">
        <v>2</v>
      </c>
      <c r="L691">
        <v>1</v>
      </c>
      <c r="M691" t="s">
        <v>8</v>
      </c>
      <c r="N691" t="s">
        <v>2038</v>
      </c>
      <c r="O691" t="s">
        <v>10</v>
      </c>
      <c r="P691" t="s">
        <v>2688</v>
      </c>
    </row>
    <row r="692" spans="1:16" hidden="1" x14ac:dyDescent="0.2">
      <c r="A692" t="s">
        <v>254</v>
      </c>
      <c r="B692">
        <v>178</v>
      </c>
      <c r="C692" t="s">
        <v>2059</v>
      </c>
      <c r="D692" t="s">
        <v>2066</v>
      </c>
      <c r="E692" t="s">
        <v>2082</v>
      </c>
      <c r="F692" t="s">
        <v>431</v>
      </c>
      <c r="I692">
        <v>100</v>
      </c>
      <c r="J692" t="s">
        <v>2063</v>
      </c>
      <c r="K692">
        <v>50</v>
      </c>
      <c r="L692">
        <v>1</v>
      </c>
      <c r="M692" t="s">
        <v>2052</v>
      </c>
      <c r="N692" t="s">
        <v>2038</v>
      </c>
      <c r="O692" t="s">
        <v>10</v>
      </c>
    </row>
    <row r="693" spans="1:16" hidden="1" x14ac:dyDescent="0.2">
      <c r="A693" t="s">
        <v>925</v>
      </c>
      <c r="B693">
        <v>1029</v>
      </c>
      <c r="C693" t="s">
        <v>2059</v>
      </c>
      <c r="D693" t="s">
        <v>2066</v>
      </c>
      <c r="E693" t="s">
        <v>2082</v>
      </c>
      <c r="F693" t="s">
        <v>431</v>
      </c>
      <c r="I693">
        <v>99.447513812154696</v>
      </c>
      <c r="J693" t="s">
        <v>2063</v>
      </c>
      <c r="K693">
        <v>50</v>
      </c>
      <c r="L693">
        <v>1</v>
      </c>
      <c r="M693" t="s">
        <v>2052</v>
      </c>
      <c r="N693" t="s">
        <v>2038</v>
      </c>
      <c r="O693" t="s">
        <v>10</v>
      </c>
    </row>
    <row r="694" spans="1:16" hidden="1" x14ac:dyDescent="0.2">
      <c r="A694" t="s">
        <v>1173</v>
      </c>
      <c r="B694">
        <v>1411</v>
      </c>
      <c r="C694" t="s">
        <v>2059</v>
      </c>
      <c r="D694" t="s">
        <v>2066</v>
      </c>
      <c r="E694" t="s">
        <v>2082</v>
      </c>
      <c r="F694" t="s">
        <v>431</v>
      </c>
      <c r="I694">
        <v>100</v>
      </c>
      <c r="J694" t="s">
        <v>2063</v>
      </c>
      <c r="K694">
        <v>50</v>
      </c>
      <c r="L694">
        <v>1</v>
      </c>
      <c r="M694" t="s">
        <v>2052</v>
      </c>
      <c r="N694" t="s">
        <v>2038</v>
      </c>
      <c r="O694" t="s">
        <v>10</v>
      </c>
    </row>
    <row r="695" spans="1:16" hidden="1" x14ac:dyDescent="0.2">
      <c r="A695" t="s">
        <v>1611</v>
      </c>
      <c r="B695">
        <v>1977</v>
      </c>
      <c r="C695" t="s">
        <v>2059</v>
      </c>
      <c r="D695" t="s">
        <v>2066</v>
      </c>
      <c r="E695" t="s">
        <v>2082</v>
      </c>
      <c r="F695" t="s">
        <v>241</v>
      </c>
      <c r="G695" t="s">
        <v>495</v>
      </c>
      <c r="H695" t="s">
        <v>496</v>
      </c>
      <c r="I695">
        <v>97.237569060773495</v>
      </c>
      <c r="J695" t="s">
        <v>2063</v>
      </c>
      <c r="K695">
        <v>8</v>
      </c>
      <c r="L695">
        <v>0.42105263157894701</v>
      </c>
      <c r="M695" t="s">
        <v>8</v>
      </c>
      <c r="N695" t="s">
        <v>2038</v>
      </c>
      <c r="O695" t="s">
        <v>10</v>
      </c>
      <c r="P695" t="s">
        <v>2590</v>
      </c>
    </row>
    <row r="696" spans="1:16" hidden="1" x14ac:dyDescent="0.2">
      <c r="A696" t="s">
        <v>1930</v>
      </c>
      <c r="B696">
        <v>2380</v>
      </c>
      <c r="C696" t="s">
        <v>2059</v>
      </c>
      <c r="D696" t="s">
        <v>2066</v>
      </c>
      <c r="E696" t="s">
        <v>2082</v>
      </c>
      <c r="F696" t="s">
        <v>241</v>
      </c>
      <c r="G696" t="s">
        <v>495</v>
      </c>
      <c r="H696" t="s">
        <v>496</v>
      </c>
      <c r="I696">
        <v>97.790055248618799</v>
      </c>
      <c r="J696" t="s">
        <v>2063</v>
      </c>
      <c r="K696">
        <v>10</v>
      </c>
      <c r="L696">
        <v>0.41666666666666702</v>
      </c>
      <c r="M696" t="s">
        <v>8</v>
      </c>
      <c r="N696" t="s">
        <v>2038</v>
      </c>
      <c r="O696" t="s">
        <v>10</v>
      </c>
      <c r="P696" t="s">
        <v>2590</v>
      </c>
    </row>
    <row r="697" spans="1:16" hidden="1" x14ac:dyDescent="0.2">
      <c r="A697" t="s">
        <v>1980</v>
      </c>
      <c r="B697">
        <v>2513</v>
      </c>
      <c r="C697" t="s">
        <v>2059</v>
      </c>
      <c r="D697" t="s">
        <v>2066</v>
      </c>
      <c r="E697" t="s">
        <v>2082</v>
      </c>
      <c r="F697" t="s">
        <v>241</v>
      </c>
      <c r="G697" t="s">
        <v>495</v>
      </c>
      <c r="H697" t="s">
        <v>496</v>
      </c>
      <c r="I697">
        <v>97.237569060773495</v>
      </c>
      <c r="J697" t="s">
        <v>2063</v>
      </c>
      <c r="K697">
        <v>8</v>
      </c>
      <c r="L697">
        <v>0.42105263157894701</v>
      </c>
      <c r="M697" t="s">
        <v>8</v>
      </c>
      <c r="N697" t="s">
        <v>2038</v>
      </c>
      <c r="O697" t="s">
        <v>10</v>
      </c>
      <c r="P697" t="s">
        <v>2590</v>
      </c>
    </row>
    <row r="698" spans="1:16" x14ac:dyDescent="0.2">
      <c r="A698" t="s">
        <v>2256</v>
      </c>
      <c r="B698">
        <v>494</v>
      </c>
      <c r="C698" t="s">
        <v>2059</v>
      </c>
      <c r="D698" t="s">
        <v>2066</v>
      </c>
      <c r="E698" t="s">
        <v>2067</v>
      </c>
      <c r="F698" t="s">
        <v>2145</v>
      </c>
      <c r="G698" t="s">
        <v>2146</v>
      </c>
      <c r="I698">
        <v>96.629213483146103</v>
      </c>
      <c r="J698" t="s">
        <v>2063</v>
      </c>
      <c r="K698">
        <v>2</v>
      </c>
      <c r="L698">
        <v>0.66666666666666696</v>
      </c>
      <c r="M698" t="s">
        <v>7</v>
      </c>
      <c r="N698" t="s">
        <v>2714</v>
      </c>
      <c r="O698" t="s">
        <v>10</v>
      </c>
    </row>
    <row r="699" spans="1:16" x14ac:dyDescent="0.2">
      <c r="A699" t="s">
        <v>725</v>
      </c>
      <c r="B699">
        <v>739</v>
      </c>
      <c r="C699" t="s">
        <v>2059</v>
      </c>
      <c r="D699" t="s">
        <v>2066</v>
      </c>
      <c r="E699" t="s">
        <v>2080</v>
      </c>
      <c r="F699" t="s">
        <v>2193</v>
      </c>
      <c r="G699" t="s">
        <v>368</v>
      </c>
      <c r="I699">
        <v>96.6480446927374</v>
      </c>
      <c r="J699" t="s">
        <v>2063</v>
      </c>
      <c r="K699">
        <v>46</v>
      </c>
      <c r="L699">
        <v>1</v>
      </c>
      <c r="M699" t="s">
        <v>7</v>
      </c>
      <c r="N699" t="s">
        <v>2714</v>
      </c>
      <c r="O699" t="s">
        <v>10</v>
      </c>
    </row>
    <row r="700" spans="1:16" x14ac:dyDescent="0.2">
      <c r="A700" t="s">
        <v>2004</v>
      </c>
      <c r="B700">
        <v>2551</v>
      </c>
      <c r="C700" t="s">
        <v>2059</v>
      </c>
      <c r="D700" t="s">
        <v>2066</v>
      </c>
      <c r="E700" t="s">
        <v>2082</v>
      </c>
      <c r="F700" t="s">
        <v>241</v>
      </c>
      <c r="G700" t="s">
        <v>2708</v>
      </c>
      <c r="I700">
        <v>96.6480446927374</v>
      </c>
      <c r="J700" t="s">
        <v>2063</v>
      </c>
      <c r="K700">
        <v>10</v>
      </c>
      <c r="L700">
        <v>0.27027027027027001</v>
      </c>
      <c r="M700" t="s">
        <v>7</v>
      </c>
      <c r="N700" t="s">
        <v>2714</v>
      </c>
      <c r="O700" t="s">
        <v>10</v>
      </c>
    </row>
    <row r="701" spans="1:16" x14ac:dyDescent="0.2">
      <c r="A701" t="s">
        <v>1297</v>
      </c>
      <c r="B701">
        <v>1552</v>
      </c>
      <c r="C701" t="s">
        <v>2059</v>
      </c>
      <c r="D701" t="s">
        <v>2066</v>
      </c>
      <c r="E701" t="s">
        <v>2079</v>
      </c>
      <c r="F701" t="s">
        <v>1300</v>
      </c>
      <c r="I701">
        <v>96.6666666666667</v>
      </c>
      <c r="J701" t="s">
        <v>2063</v>
      </c>
      <c r="K701">
        <v>14</v>
      </c>
      <c r="L701">
        <v>0.29787234042553201</v>
      </c>
      <c r="M701" t="s">
        <v>2052</v>
      </c>
      <c r="N701" t="s">
        <v>2714</v>
      </c>
      <c r="O701" t="s">
        <v>10</v>
      </c>
    </row>
    <row r="702" spans="1:16" x14ac:dyDescent="0.2">
      <c r="A702" t="s">
        <v>695</v>
      </c>
      <c r="B702">
        <v>702</v>
      </c>
      <c r="C702" t="s">
        <v>2059</v>
      </c>
      <c r="D702" t="s">
        <v>2066</v>
      </c>
      <c r="E702" t="s">
        <v>2082</v>
      </c>
      <c r="F702" t="s">
        <v>241</v>
      </c>
      <c r="G702" t="s">
        <v>2326</v>
      </c>
      <c r="I702">
        <v>96.6666666666667</v>
      </c>
      <c r="J702" t="s">
        <v>2063</v>
      </c>
      <c r="K702">
        <v>11</v>
      </c>
      <c r="L702">
        <v>0.34375</v>
      </c>
      <c r="M702" t="s">
        <v>7</v>
      </c>
      <c r="N702" t="s">
        <v>2038</v>
      </c>
      <c r="O702" t="s">
        <v>10</v>
      </c>
    </row>
    <row r="703" spans="1:16" x14ac:dyDescent="0.2">
      <c r="A703" t="s">
        <v>452</v>
      </c>
      <c r="B703">
        <v>394</v>
      </c>
      <c r="C703" t="s">
        <v>2059</v>
      </c>
      <c r="D703" t="s">
        <v>2066</v>
      </c>
      <c r="E703" t="s">
        <v>2090</v>
      </c>
      <c r="F703" t="s">
        <v>2190</v>
      </c>
      <c r="G703" t="s">
        <v>364</v>
      </c>
      <c r="I703">
        <v>96.6666666666667</v>
      </c>
      <c r="J703" t="s">
        <v>2063</v>
      </c>
      <c r="K703">
        <v>11</v>
      </c>
      <c r="L703">
        <v>1</v>
      </c>
      <c r="M703" t="s">
        <v>7</v>
      </c>
      <c r="N703" t="s">
        <v>2714</v>
      </c>
      <c r="O703" t="s">
        <v>10</v>
      </c>
    </row>
    <row r="704" spans="1:16" x14ac:dyDescent="0.2">
      <c r="A704" t="s">
        <v>1076</v>
      </c>
      <c r="B704">
        <v>1277</v>
      </c>
      <c r="C704" t="s">
        <v>2059</v>
      </c>
      <c r="D704" t="s">
        <v>2069</v>
      </c>
      <c r="E704" t="s">
        <v>2070</v>
      </c>
      <c r="F704" t="s">
        <v>2447</v>
      </c>
      <c r="I704">
        <v>96.685082872928206</v>
      </c>
      <c r="J704" t="s">
        <v>2063</v>
      </c>
      <c r="K704">
        <v>14</v>
      </c>
      <c r="L704">
        <v>1</v>
      </c>
      <c r="M704" t="s">
        <v>2052</v>
      </c>
      <c r="N704" t="s">
        <v>2714</v>
      </c>
      <c r="O704" t="s">
        <v>10</v>
      </c>
    </row>
    <row r="705" spans="1:16" x14ac:dyDescent="0.2">
      <c r="A705" t="s">
        <v>353</v>
      </c>
      <c r="B705">
        <v>267</v>
      </c>
      <c r="C705" t="s">
        <v>2059</v>
      </c>
      <c r="D705" t="s">
        <v>2066</v>
      </c>
      <c r="E705" t="s">
        <v>2079</v>
      </c>
      <c r="F705" t="s">
        <v>315</v>
      </c>
      <c r="G705" t="s">
        <v>355</v>
      </c>
      <c r="I705">
        <v>96.685082872928206</v>
      </c>
      <c r="J705" t="s">
        <v>2063</v>
      </c>
      <c r="K705">
        <v>44</v>
      </c>
      <c r="L705">
        <v>1</v>
      </c>
      <c r="M705" t="s">
        <v>7</v>
      </c>
      <c r="N705" t="s">
        <v>2714</v>
      </c>
      <c r="O705" t="s">
        <v>10</v>
      </c>
    </row>
    <row r="706" spans="1:16" x14ac:dyDescent="0.2">
      <c r="A706" t="s">
        <v>408</v>
      </c>
      <c r="B706">
        <v>331</v>
      </c>
      <c r="C706" t="s">
        <v>2059</v>
      </c>
      <c r="D706" t="s">
        <v>2066</v>
      </c>
      <c r="E706" t="s">
        <v>2067</v>
      </c>
      <c r="F706" t="s">
        <v>2214</v>
      </c>
      <c r="I706">
        <v>96.685082872928206</v>
      </c>
      <c r="J706" t="s">
        <v>2113</v>
      </c>
      <c r="K706">
        <v>4</v>
      </c>
      <c r="L706">
        <v>1</v>
      </c>
      <c r="M706" t="s">
        <v>2052</v>
      </c>
      <c r="N706" t="s">
        <v>2714</v>
      </c>
      <c r="O706" t="s">
        <v>10</v>
      </c>
    </row>
    <row r="707" spans="1:16" x14ac:dyDescent="0.2">
      <c r="A707" t="s">
        <v>39</v>
      </c>
      <c r="B707">
        <v>18</v>
      </c>
      <c r="C707" t="s">
        <v>2059</v>
      </c>
      <c r="D707" t="s">
        <v>2066</v>
      </c>
      <c r="E707" t="s">
        <v>2086</v>
      </c>
      <c r="F707" t="s">
        <v>2087</v>
      </c>
      <c r="G707" t="s">
        <v>2088</v>
      </c>
      <c r="I707">
        <v>96.685082872928206</v>
      </c>
      <c r="J707" t="s">
        <v>2063</v>
      </c>
      <c r="K707">
        <v>6</v>
      </c>
      <c r="L707">
        <v>1</v>
      </c>
      <c r="M707" t="s">
        <v>7</v>
      </c>
      <c r="N707" t="s">
        <v>2714</v>
      </c>
      <c r="O707" t="s">
        <v>10</v>
      </c>
    </row>
    <row r="708" spans="1:16" x14ac:dyDescent="0.2">
      <c r="A708" t="s">
        <v>1932</v>
      </c>
      <c r="B708">
        <v>2390</v>
      </c>
      <c r="C708" t="s">
        <v>2059</v>
      </c>
      <c r="D708" t="s">
        <v>2066</v>
      </c>
      <c r="E708" t="s">
        <v>2080</v>
      </c>
      <c r="F708" t="s">
        <v>283</v>
      </c>
      <c r="G708" t="s">
        <v>2684</v>
      </c>
      <c r="I708">
        <v>97.191011235955102</v>
      </c>
      <c r="J708" t="s">
        <v>2063</v>
      </c>
      <c r="K708">
        <v>48</v>
      </c>
      <c r="L708">
        <v>1</v>
      </c>
      <c r="M708" t="s">
        <v>7</v>
      </c>
      <c r="N708" t="s">
        <v>2714</v>
      </c>
      <c r="O708" t="s">
        <v>10</v>
      </c>
    </row>
    <row r="709" spans="1:16" x14ac:dyDescent="0.2">
      <c r="A709" t="s">
        <v>1887</v>
      </c>
      <c r="B709">
        <v>2317</v>
      </c>
      <c r="C709" t="s">
        <v>2059</v>
      </c>
      <c r="D709" t="s">
        <v>2066</v>
      </c>
      <c r="E709" t="s">
        <v>2082</v>
      </c>
      <c r="F709" t="s">
        <v>141</v>
      </c>
      <c r="G709" t="s">
        <v>1600</v>
      </c>
      <c r="H709" t="s">
        <v>1601</v>
      </c>
      <c r="I709">
        <v>97.191011235955102</v>
      </c>
      <c r="J709" t="s">
        <v>2063</v>
      </c>
      <c r="K709">
        <v>4</v>
      </c>
      <c r="L709">
        <v>1</v>
      </c>
      <c r="M709" t="s">
        <v>8</v>
      </c>
      <c r="N709" t="s">
        <v>2038</v>
      </c>
      <c r="O709" t="s">
        <v>10</v>
      </c>
      <c r="P709" t="s">
        <v>2670</v>
      </c>
    </row>
    <row r="710" spans="1:16" x14ac:dyDescent="0.2">
      <c r="A710" t="s">
        <v>2013</v>
      </c>
      <c r="B710">
        <v>2565</v>
      </c>
      <c r="C710" t="s">
        <v>2059</v>
      </c>
      <c r="D710" t="s">
        <v>2069</v>
      </c>
      <c r="I710">
        <v>97.2222222222222</v>
      </c>
      <c r="J710" t="s">
        <v>2063</v>
      </c>
      <c r="K710">
        <v>1</v>
      </c>
      <c r="L710">
        <v>1</v>
      </c>
      <c r="M710" t="s">
        <v>2050</v>
      </c>
      <c r="N710" t="s">
        <v>2714</v>
      </c>
      <c r="O710" t="s">
        <v>10</v>
      </c>
    </row>
    <row r="711" spans="1:16" x14ac:dyDescent="0.2">
      <c r="A711" t="s">
        <v>634</v>
      </c>
      <c r="B711">
        <v>637</v>
      </c>
      <c r="C711" t="s">
        <v>2059</v>
      </c>
      <c r="D711" t="s">
        <v>2066</v>
      </c>
      <c r="E711" t="s">
        <v>2079</v>
      </c>
      <c r="F711" t="s">
        <v>2301</v>
      </c>
      <c r="I711">
        <v>97.2222222222222</v>
      </c>
      <c r="J711" t="s">
        <v>2063</v>
      </c>
      <c r="K711">
        <v>50</v>
      </c>
      <c r="L711">
        <v>1</v>
      </c>
      <c r="M711" t="s">
        <v>2052</v>
      </c>
      <c r="N711" t="s">
        <v>2714</v>
      </c>
      <c r="O711" t="s">
        <v>10</v>
      </c>
    </row>
    <row r="712" spans="1:16" x14ac:dyDescent="0.2">
      <c r="A712" t="s">
        <v>2682</v>
      </c>
      <c r="B712">
        <v>2374</v>
      </c>
      <c r="C712" t="s">
        <v>2059</v>
      </c>
      <c r="D712" t="s">
        <v>2066</v>
      </c>
      <c r="E712" t="s">
        <v>2080</v>
      </c>
      <c r="F712" t="s">
        <v>2389</v>
      </c>
      <c r="G712" t="s">
        <v>2390</v>
      </c>
      <c r="I712">
        <v>97.2222222222222</v>
      </c>
      <c r="J712" t="s">
        <v>2063</v>
      </c>
      <c r="K712">
        <v>13</v>
      </c>
      <c r="L712">
        <v>1</v>
      </c>
      <c r="M712" t="s">
        <v>7</v>
      </c>
      <c r="N712" t="s">
        <v>2714</v>
      </c>
      <c r="O712" t="s">
        <v>10</v>
      </c>
    </row>
    <row r="713" spans="1:16" x14ac:dyDescent="0.2">
      <c r="A713" t="s">
        <v>1188</v>
      </c>
      <c r="B713">
        <v>1423</v>
      </c>
      <c r="C713" t="s">
        <v>2059</v>
      </c>
      <c r="D713" t="s">
        <v>2066</v>
      </c>
      <c r="E713" t="s">
        <v>2082</v>
      </c>
      <c r="F713" t="s">
        <v>255</v>
      </c>
      <c r="G713" t="s">
        <v>344</v>
      </c>
      <c r="H713" t="s">
        <v>345</v>
      </c>
      <c r="I713">
        <v>97.2222222222222</v>
      </c>
      <c r="J713" t="s">
        <v>2063</v>
      </c>
      <c r="K713">
        <v>26</v>
      </c>
      <c r="L713">
        <v>0.86666666666666703</v>
      </c>
      <c r="M713" t="s">
        <v>8</v>
      </c>
      <c r="N713" t="s">
        <v>2038</v>
      </c>
      <c r="O713" t="s">
        <v>10</v>
      </c>
      <c r="P713" t="s">
        <v>2186</v>
      </c>
    </row>
    <row r="714" spans="1:16" x14ac:dyDescent="0.2">
      <c r="A714" t="s">
        <v>1232</v>
      </c>
      <c r="B714">
        <v>1481</v>
      </c>
      <c r="C714" t="s">
        <v>2059</v>
      </c>
      <c r="D714" t="s">
        <v>2066</v>
      </c>
      <c r="E714" t="s">
        <v>2082</v>
      </c>
      <c r="F714" t="s">
        <v>603</v>
      </c>
      <c r="G714" t="s">
        <v>2480</v>
      </c>
      <c r="H714" t="s">
        <v>2481</v>
      </c>
      <c r="I714">
        <v>97.2222222222222</v>
      </c>
      <c r="J714" t="s">
        <v>2063</v>
      </c>
      <c r="K714">
        <v>2</v>
      </c>
      <c r="L714">
        <v>0.2</v>
      </c>
      <c r="M714" t="s">
        <v>8</v>
      </c>
      <c r="N714" t="s">
        <v>2038</v>
      </c>
      <c r="O714" t="s">
        <v>10</v>
      </c>
      <c r="P714" t="s">
        <v>2482</v>
      </c>
    </row>
    <row r="715" spans="1:16" x14ac:dyDescent="0.2">
      <c r="A715" t="s">
        <v>842</v>
      </c>
      <c r="B715">
        <v>901</v>
      </c>
      <c r="C715" t="s">
        <v>2059</v>
      </c>
      <c r="D715" t="s">
        <v>2066</v>
      </c>
      <c r="E715" t="s">
        <v>2082</v>
      </c>
      <c r="F715" t="s">
        <v>603</v>
      </c>
      <c r="G715" t="s">
        <v>1872</v>
      </c>
      <c r="H715" t="s">
        <v>1873</v>
      </c>
      <c r="I715">
        <v>97.2222222222222</v>
      </c>
      <c r="J715" t="s">
        <v>2063</v>
      </c>
      <c r="K715">
        <v>3</v>
      </c>
      <c r="L715">
        <v>0.75</v>
      </c>
      <c r="M715" t="s">
        <v>8</v>
      </c>
      <c r="N715" t="s">
        <v>2038</v>
      </c>
      <c r="O715" t="s">
        <v>10</v>
      </c>
      <c r="P715" t="s">
        <v>2366</v>
      </c>
    </row>
    <row r="716" spans="1:16" x14ac:dyDescent="0.2">
      <c r="A716" t="s">
        <v>1773</v>
      </c>
      <c r="B716">
        <v>2185</v>
      </c>
      <c r="C716" t="s">
        <v>2059</v>
      </c>
      <c r="D716" t="s">
        <v>2066</v>
      </c>
      <c r="E716" t="s">
        <v>2082</v>
      </c>
      <c r="F716" t="s">
        <v>2634</v>
      </c>
      <c r="G716" t="s">
        <v>1776</v>
      </c>
      <c r="H716" t="s">
        <v>1777</v>
      </c>
      <c r="I716">
        <v>97.2222222222222</v>
      </c>
      <c r="J716" t="s">
        <v>2063</v>
      </c>
      <c r="K716">
        <v>3</v>
      </c>
      <c r="L716">
        <v>0.6</v>
      </c>
      <c r="M716" t="s">
        <v>8</v>
      </c>
      <c r="N716" t="s">
        <v>2038</v>
      </c>
      <c r="O716" t="s">
        <v>10</v>
      </c>
      <c r="P716" t="s">
        <v>2635</v>
      </c>
    </row>
    <row r="717" spans="1:16" x14ac:dyDescent="0.2">
      <c r="A717" t="s">
        <v>833</v>
      </c>
      <c r="B717">
        <v>894</v>
      </c>
      <c r="C717" t="s">
        <v>2059</v>
      </c>
      <c r="D717" t="s">
        <v>2066</v>
      </c>
      <c r="E717" t="s">
        <v>2360</v>
      </c>
      <c r="F717" t="s">
        <v>2361</v>
      </c>
      <c r="G717" t="s">
        <v>2362</v>
      </c>
      <c r="H717" t="s">
        <v>2363</v>
      </c>
      <c r="I717">
        <v>97.2222222222222</v>
      </c>
      <c r="J717" t="s">
        <v>2063</v>
      </c>
      <c r="K717">
        <v>5</v>
      </c>
      <c r="L717">
        <v>1</v>
      </c>
      <c r="M717" t="s">
        <v>8</v>
      </c>
      <c r="N717" t="s">
        <v>2038</v>
      </c>
      <c r="O717" t="s">
        <v>10</v>
      </c>
      <c r="P717" t="s">
        <v>2364</v>
      </c>
    </row>
    <row r="718" spans="1:16" x14ac:dyDescent="0.2">
      <c r="A718" t="s">
        <v>1262</v>
      </c>
      <c r="B718">
        <v>1524</v>
      </c>
      <c r="C718" t="s">
        <v>2059</v>
      </c>
      <c r="D718" t="s">
        <v>2066</v>
      </c>
      <c r="E718" t="s">
        <v>2079</v>
      </c>
      <c r="F718" t="s">
        <v>177</v>
      </c>
      <c r="G718" t="s">
        <v>176</v>
      </c>
      <c r="I718">
        <v>97.237569060773495</v>
      </c>
      <c r="J718" t="s">
        <v>2063</v>
      </c>
      <c r="K718">
        <v>7</v>
      </c>
      <c r="L718">
        <v>0.77777777777777801</v>
      </c>
      <c r="M718" t="s">
        <v>7</v>
      </c>
      <c r="N718" t="s">
        <v>2714</v>
      </c>
      <c r="O718" t="s">
        <v>10</v>
      </c>
    </row>
    <row r="719" spans="1:16" x14ac:dyDescent="0.2">
      <c r="A719" t="s">
        <v>777</v>
      </c>
      <c r="B719">
        <v>827</v>
      </c>
      <c r="C719" t="s">
        <v>2059</v>
      </c>
      <c r="D719" t="s">
        <v>2066</v>
      </c>
      <c r="E719" t="s">
        <v>2082</v>
      </c>
      <c r="F719" t="s">
        <v>2345</v>
      </c>
      <c r="G719" t="s">
        <v>781</v>
      </c>
      <c r="H719" t="s">
        <v>782</v>
      </c>
      <c r="I719">
        <v>97.237569060773495</v>
      </c>
      <c r="J719" t="s">
        <v>2063</v>
      </c>
      <c r="K719">
        <v>1</v>
      </c>
      <c r="L719">
        <v>1</v>
      </c>
      <c r="M719" t="s">
        <v>8</v>
      </c>
      <c r="N719" t="s">
        <v>2038</v>
      </c>
      <c r="O719" t="s">
        <v>10</v>
      </c>
      <c r="P719" t="s">
        <v>2346</v>
      </c>
    </row>
    <row r="720" spans="1:16" x14ac:dyDescent="0.2">
      <c r="A720" t="s">
        <v>2442</v>
      </c>
      <c r="B720">
        <v>1267</v>
      </c>
      <c r="C720" t="s">
        <v>2059</v>
      </c>
      <c r="I720">
        <v>97.237569060773495</v>
      </c>
      <c r="J720" t="s">
        <v>2063</v>
      </c>
      <c r="K720">
        <v>1</v>
      </c>
      <c r="L720">
        <v>0.5</v>
      </c>
      <c r="M720" t="s">
        <v>2049</v>
      </c>
      <c r="N720" t="s">
        <v>2714</v>
      </c>
      <c r="O720" t="s">
        <v>10</v>
      </c>
    </row>
    <row r="721" spans="1:16" x14ac:dyDescent="0.2">
      <c r="A721" t="s">
        <v>1084</v>
      </c>
      <c r="B721">
        <v>1283</v>
      </c>
      <c r="C721" t="s">
        <v>2059</v>
      </c>
      <c r="D721" t="s">
        <v>2066</v>
      </c>
      <c r="E721" t="s">
        <v>2080</v>
      </c>
      <c r="F721" t="s">
        <v>2448</v>
      </c>
      <c r="G721" t="s">
        <v>1086</v>
      </c>
      <c r="H721" t="s">
        <v>1087</v>
      </c>
      <c r="I721">
        <v>97.241379310344797</v>
      </c>
      <c r="J721" t="s">
        <v>2063</v>
      </c>
      <c r="K721">
        <v>6</v>
      </c>
      <c r="L721">
        <v>0.75</v>
      </c>
      <c r="M721" t="s">
        <v>8</v>
      </c>
      <c r="N721" t="s">
        <v>2038</v>
      </c>
      <c r="O721" t="s">
        <v>2040</v>
      </c>
      <c r="P721" t="s">
        <v>2449</v>
      </c>
    </row>
    <row r="722" spans="1:16" x14ac:dyDescent="0.2">
      <c r="A722" t="s">
        <v>2613</v>
      </c>
      <c r="B722">
        <v>2099</v>
      </c>
      <c r="C722" t="s">
        <v>2059</v>
      </c>
      <c r="D722" t="s">
        <v>2066</v>
      </c>
      <c r="E722" t="s">
        <v>2074</v>
      </c>
      <c r="F722" t="s">
        <v>2075</v>
      </c>
      <c r="G722" t="s">
        <v>2614</v>
      </c>
      <c r="H722" t="s">
        <v>2615</v>
      </c>
      <c r="I722">
        <v>97.515527950310599</v>
      </c>
      <c r="J722" t="s">
        <v>2063</v>
      </c>
      <c r="K722">
        <v>2</v>
      </c>
      <c r="L722">
        <v>1</v>
      </c>
      <c r="M722" t="s">
        <v>8</v>
      </c>
      <c r="N722" t="s">
        <v>2038</v>
      </c>
      <c r="O722" t="s">
        <v>10</v>
      </c>
      <c r="P722" t="s">
        <v>2616</v>
      </c>
    </row>
    <row r="723" spans="1:16" x14ac:dyDescent="0.2">
      <c r="A723" t="s">
        <v>1069</v>
      </c>
      <c r="B723">
        <v>1272</v>
      </c>
      <c r="C723" t="s">
        <v>2059</v>
      </c>
      <c r="D723" t="s">
        <v>2066</v>
      </c>
      <c r="E723" t="s">
        <v>2082</v>
      </c>
      <c r="F723" t="s">
        <v>603</v>
      </c>
      <c r="G723" t="s">
        <v>2443</v>
      </c>
      <c r="H723" t="s">
        <v>2444</v>
      </c>
      <c r="I723">
        <v>97.752808988764002</v>
      </c>
      <c r="J723" t="s">
        <v>2063</v>
      </c>
      <c r="K723">
        <v>1</v>
      </c>
      <c r="L723">
        <v>1</v>
      </c>
      <c r="M723" t="s">
        <v>8</v>
      </c>
      <c r="N723" t="s">
        <v>2038</v>
      </c>
      <c r="O723" t="s">
        <v>10</v>
      </c>
      <c r="P723" t="s">
        <v>2445</v>
      </c>
    </row>
    <row r="724" spans="1:16" x14ac:dyDescent="0.2">
      <c r="A724" t="s">
        <v>343</v>
      </c>
      <c r="B724">
        <v>264</v>
      </c>
      <c r="C724" t="s">
        <v>2059</v>
      </c>
      <c r="D724" t="s">
        <v>2066</v>
      </c>
      <c r="E724" t="s">
        <v>2082</v>
      </c>
      <c r="F724" t="s">
        <v>255</v>
      </c>
      <c r="G724" t="s">
        <v>344</v>
      </c>
      <c r="H724" t="s">
        <v>345</v>
      </c>
      <c r="I724">
        <v>97.7653631284916</v>
      </c>
      <c r="J724" t="s">
        <v>2063</v>
      </c>
      <c r="K724">
        <v>25</v>
      </c>
      <c r="L724">
        <v>0.86206896551724099</v>
      </c>
      <c r="M724" t="s">
        <v>8</v>
      </c>
      <c r="N724" t="s">
        <v>2038</v>
      </c>
      <c r="O724" t="s">
        <v>10</v>
      </c>
      <c r="P724" t="s">
        <v>2186</v>
      </c>
    </row>
    <row r="725" spans="1:16" x14ac:dyDescent="0.2">
      <c r="A725" t="s">
        <v>1860</v>
      </c>
      <c r="B725">
        <v>2290</v>
      </c>
      <c r="C725" t="s">
        <v>2059</v>
      </c>
      <c r="D725" t="s">
        <v>2066</v>
      </c>
      <c r="E725" t="s">
        <v>2082</v>
      </c>
      <c r="F725" t="s">
        <v>2111</v>
      </c>
      <c r="G725" t="s">
        <v>108</v>
      </c>
      <c r="H725" t="s">
        <v>109</v>
      </c>
      <c r="I725">
        <v>97.7777777777778</v>
      </c>
      <c r="J725" t="s">
        <v>2063</v>
      </c>
      <c r="K725">
        <v>2</v>
      </c>
      <c r="L725">
        <v>1</v>
      </c>
      <c r="M725" t="s">
        <v>8</v>
      </c>
      <c r="N725" t="s">
        <v>2037</v>
      </c>
      <c r="O725" t="s">
        <v>10</v>
      </c>
      <c r="P725" t="s">
        <v>2662</v>
      </c>
    </row>
    <row r="726" spans="1:16" x14ac:dyDescent="0.2">
      <c r="A726" t="s">
        <v>1240</v>
      </c>
      <c r="B726">
        <v>1488</v>
      </c>
      <c r="C726" t="s">
        <v>2059</v>
      </c>
      <c r="D726" t="s">
        <v>2066</v>
      </c>
      <c r="E726" t="s">
        <v>2082</v>
      </c>
      <c r="F726" t="s">
        <v>255</v>
      </c>
      <c r="G726" t="s">
        <v>344</v>
      </c>
      <c r="H726" t="s">
        <v>345</v>
      </c>
      <c r="I726">
        <v>97.7777777777778</v>
      </c>
      <c r="J726" t="s">
        <v>2063</v>
      </c>
      <c r="K726">
        <v>25</v>
      </c>
      <c r="L726">
        <v>0.86206896551724099</v>
      </c>
      <c r="M726" t="s">
        <v>8</v>
      </c>
      <c r="N726" t="s">
        <v>2038</v>
      </c>
      <c r="O726" t="s">
        <v>10</v>
      </c>
      <c r="P726" t="s">
        <v>2186</v>
      </c>
    </row>
    <row r="727" spans="1:16" x14ac:dyDescent="0.2">
      <c r="A727" t="s">
        <v>1952</v>
      </c>
      <c r="B727">
        <v>2418</v>
      </c>
      <c r="C727" t="s">
        <v>2059</v>
      </c>
      <c r="D727" t="s">
        <v>2066</v>
      </c>
      <c r="E727" t="s">
        <v>2082</v>
      </c>
      <c r="F727" t="s">
        <v>141</v>
      </c>
      <c r="G727" t="s">
        <v>1600</v>
      </c>
      <c r="H727" t="s">
        <v>1601</v>
      </c>
      <c r="I727">
        <v>97.7777777777778</v>
      </c>
      <c r="J727" t="s">
        <v>2063</v>
      </c>
      <c r="K727">
        <v>17</v>
      </c>
      <c r="L727">
        <v>0.89473684210526305</v>
      </c>
      <c r="M727" t="s">
        <v>8</v>
      </c>
      <c r="N727" t="s">
        <v>2038</v>
      </c>
      <c r="O727" t="s">
        <v>10</v>
      </c>
      <c r="P727" t="s">
        <v>2585</v>
      </c>
    </row>
    <row r="728" spans="1:16" x14ac:dyDescent="0.2">
      <c r="A728" t="s">
        <v>971</v>
      </c>
      <c r="B728">
        <v>1090</v>
      </c>
      <c r="C728" t="s">
        <v>2059</v>
      </c>
      <c r="D728" t="s">
        <v>2060</v>
      </c>
      <c r="E728" t="s">
        <v>2206</v>
      </c>
      <c r="F728" t="s">
        <v>118</v>
      </c>
      <c r="I728">
        <v>97.790055248618799</v>
      </c>
      <c r="J728" t="s">
        <v>2113</v>
      </c>
      <c r="K728">
        <v>38</v>
      </c>
      <c r="L728">
        <v>0.82608695652173902</v>
      </c>
      <c r="M728" t="s">
        <v>2052</v>
      </c>
      <c r="N728" t="s">
        <v>2714</v>
      </c>
      <c r="O728" t="s">
        <v>10</v>
      </c>
    </row>
    <row r="729" spans="1:16" x14ac:dyDescent="0.2">
      <c r="A729" t="s">
        <v>974</v>
      </c>
      <c r="B729">
        <v>1126</v>
      </c>
      <c r="C729" t="s">
        <v>2059</v>
      </c>
      <c r="D729" t="s">
        <v>2060</v>
      </c>
      <c r="E729" t="s">
        <v>2206</v>
      </c>
      <c r="F729" t="s">
        <v>118</v>
      </c>
      <c r="I729">
        <v>97.790055248618799</v>
      </c>
      <c r="J729" t="s">
        <v>2113</v>
      </c>
      <c r="K729">
        <v>48</v>
      </c>
      <c r="L729">
        <v>0.97959183673469397</v>
      </c>
      <c r="M729" t="s">
        <v>2052</v>
      </c>
      <c r="N729" t="s">
        <v>2714</v>
      </c>
      <c r="O729" t="s">
        <v>10</v>
      </c>
    </row>
    <row r="730" spans="1:16" x14ac:dyDescent="0.2">
      <c r="A730" t="s">
        <v>1475</v>
      </c>
      <c r="B730">
        <v>1813</v>
      </c>
      <c r="C730" t="s">
        <v>2059</v>
      </c>
      <c r="D730" t="s">
        <v>2060</v>
      </c>
      <c r="E730" t="s">
        <v>2206</v>
      </c>
      <c r="F730" t="s">
        <v>118</v>
      </c>
      <c r="I730">
        <v>97.790055248618799</v>
      </c>
      <c r="J730" t="s">
        <v>2113</v>
      </c>
      <c r="K730">
        <v>44</v>
      </c>
      <c r="L730">
        <v>0.91666666666666696</v>
      </c>
      <c r="M730" t="s">
        <v>2052</v>
      </c>
      <c r="N730" t="s">
        <v>2714</v>
      </c>
      <c r="O730" t="s">
        <v>10</v>
      </c>
    </row>
    <row r="731" spans="1:16" x14ac:dyDescent="0.2">
      <c r="A731" t="s">
        <v>889</v>
      </c>
      <c r="B731">
        <v>991</v>
      </c>
      <c r="C731" t="s">
        <v>2059</v>
      </c>
      <c r="D731" t="s">
        <v>2066</v>
      </c>
      <c r="E731" t="s">
        <v>2079</v>
      </c>
      <c r="F731" t="s">
        <v>464</v>
      </c>
      <c r="G731" t="s">
        <v>2386</v>
      </c>
      <c r="I731">
        <v>97.790055248618799</v>
      </c>
      <c r="J731" t="s">
        <v>2063</v>
      </c>
      <c r="K731">
        <v>3</v>
      </c>
      <c r="L731">
        <v>1</v>
      </c>
      <c r="M731" t="s">
        <v>7</v>
      </c>
      <c r="N731" t="s">
        <v>2714</v>
      </c>
      <c r="O731" t="s">
        <v>10</v>
      </c>
    </row>
    <row r="732" spans="1:16" x14ac:dyDescent="0.2">
      <c r="A732" t="s">
        <v>1851</v>
      </c>
      <c r="B732">
        <v>2273</v>
      </c>
      <c r="C732" t="s">
        <v>2059</v>
      </c>
      <c r="D732" t="s">
        <v>2066</v>
      </c>
      <c r="E732" t="s">
        <v>2079</v>
      </c>
      <c r="F732" t="s">
        <v>1418</v>
      </c>
      <c r="G732" t="s">
        <v>2660</v>
      </c>
      <c r="I732">
        <v>97.790055248618799</v>
      </c>
      <c r="J732" t="s">
        <v>2063</v>
      </c>
      <c r="K732">
        <v>1</v>
      </c>
      <c r="L732">
        <v>1</v>
      </c>
      <c r="M732" t="s">
        <v>7</v>
      </c>
      <c r="N732" t="s">
        <v>2714</v>
      </c>
      <c r="O732" t="s">
        <v>10</v>
      </c>
    </row>
    <row r="733" spans="1:16" x14ac:dyDescent="0.2">
      <c r="A733" t="s">
        <v>1009</v>
      </c>
      <c r="B733">
        <v>1167</v>
      </c>
      <c r="C733" t="s">
        <v>2059</v>
      </c>
      <c r="D733" t="s">
        <v>2066</v>
      </c>
      <c r="E733" t="s">
        <v>2067</v>
      </c>
      <c r="F733" t="s">
        <v>2214</v>
      </c>
      <c r="I733">
        <v>97.790055248618799</v>
      </c>
      <c r="J733" t="s">
        <v>2113</v>
      </c>
      <c r="K733">
        <v>49</v>
      </c>
      <c r="L733">
        <v>1</v>
      </c>
      <c r="M733" t="s">
        <v>2052</v>
      </c>
      <c r="N733" t="s">
        <v>2714</v>
      </c>
      <c r="O733" t="s">
        <v>10</v>
      </c>
    </row>
    <row r="734" spans="1:16" x14ac:dyDescent="0.2">
      <c r="A734" t="s">
        <v>1209</v>
      </c>
      <c r="B734">
        <v>1446</v>
      </c>
      <c r="C734" t="s">
        <v>2059</v>
      </c>
      <c r="D734" t="s">
        <v>2066</v>
      </c>
      <c r="E734" t="s">
        <v>2082</v>
      </c>
      <c r="F734" t="s">
        <v>255</v>
      </c>
      <c r="G734" t="s">
        <v>2441</v>
      </c>
      <c r="H734" t="s">
        <v>2476</v>
      </c>
      <c r="I734">
        <v>97.790055248618799</v>
      </c>
      <c r="J734" t="s">
        <v>2063</v>
      </c>
      <c r="K734">
        <v>12</v>
      </c>
      <c r="L734">
        <v>0.57142857142857095</v>
      </c>
      <c r="M734" t="s">
        <v>8</v>
      </c>
      <c r="N734" t="s">
        <v>2038</v>
      </c>
      <c r="O734" t="s">
        <v>10</v>
      </c>
      <c r="P734" t="s">
        <v>2477</v>
      </c>
    </row>
    <row r="735" spans="1:16" hidden="1" x14ac:dyDescent="0.2">
      <c r="A735" t="s">
        <v>1111</v>
      </c>
      <c r="B735">
        <v>1316</v>
      </c>
      <c r="C735" t="s">
        <v>2059</v>
      </c>
      <c r="D735" t="s">
        <v>2066</v>
      </c>
      <c r="E735" t="s">
        <v>2082</v>
      </c>
      <c r="F735" t="s">
        <v>2375</v>
      </c>
      <c r="G735" t="s">
        <v>1114</v>
      </c>
      <c r="H735" t="s">
        <v>1115</v>
      </c>
      <c r="I735">
        <v>97.790055248618799</v>
      </c>
      <c r="J735" t="s">
        <v>2063</v>
      </c>
      <c r="K735">
        <v>10</v>
      </c>
      <c r="L735">
        <v>0.55555555555555602</v>
      </c>
      <c r="M735" t="s">
        <v>8</v>
      </c>
      <c r="N735" t="s">
        <v>2038</v>
      </c>
      <c r="O735" t="s">
        <v>10</v>
      </c>
      <c r="P735" t="s">
        <v>2456</v>
      </c>
    </row>
    <row r="736" spans="1:16" hidden="1" x14ac:dyDescent="0.2">
      <c r="A736" t="s">
        <v>520</v>
      </c>
      <c r="B736">
        <v>508</v>
      </c>
      <c r="C736" t="s">
        <v>2059</v>
      </c>
      <c r="D736" t="s">
        <v>2066</v>
      </c>
      <c r="E736" t="s">
        <v>2082</v>
      </c>
      <c r="F736" t="s">
        <v>2121</v>
      </c>
      <c r="G736" t="s">
        <v>521</v>
      </c>
      <c r="H736" t="s">
        <v>522</v>
      </c>
      <c r="I736">
        <v>100</v>
      </c>
      <c r="J736" t="s">
        <v>2063</v>
      </c>
      <c r="K736">
        <v>10</v>
      </c>
      <c r="L736">
        <v>1</v>
      </c>
      <c r="M736" t="s">
        <v>8</v>
      </c>
      <c r="N736" t="s">
        <v>2038</v>
      </c>
      <c r="O736" t="s">
        <v>10</v>
      </c>
      <c r="P736" t="s">
        <v>2260</v>
      </c>
    </row>
    <row r="737" spans="1:16" hidden="1" x14ac:dyDescent="0.2">
      <c r="A737" t="s">
        <v>856</v>
      </c>
      <c r="B737">
        <v>931</v>
      </c>
      <c r="C737" t="s">
        <v>2059</v>
      </c>
      <c r="D737" t="s">
        <v>2066</v>
      </c>
      <c r="E737" t="s">
        <v>2082</v>
      </c>
      <c r="F737" t="s">
        <v>2121</v>
      </c>
      <c r="G737" t="s">
        <v>521</v>
      </c>
      <c r="H737" t="s">
        <v>522</v>
      </c>
      <c r="I737">
        <v>99.4444444444444</v>
      </c>
      <c r="J737" t="s">
        <v>2063</v>
      </c>
      <c r="K737">
        <v>10</v>
      </c>
      <c r="L737">
        <v>1</v>
      </c>
      <c r="M737" t="s">
        <v>8</v>
      </c>
      <c r="N737" t="s">
        <v>2038</v>
      </c>
      <c r="O737" t="s">
        <v>10</v>
      </c>
      <c r="P737" t="s">
        <v>2260</v>
      </c>
    </row>
    <row r="738" spans="1:16" hidden="1" x14ac:dyDescent="0.2">
      <c r="A738" t="s">
        <v>136</v>
      </c>
      <c r="B738">
        <v>74</v>
      </c>
      <c r="C738" t="s">
        <v>2059</v>
      </c>
      <c r="D738" t="s">
        <v>2066</v>
      </c>
      <c r="E738" t="s">
        <v>2082</v>
      </c>
      <c r="F738" t="s">
        <v>2121</v>
      </c>
      <c r="G738" t="s">
        <v>138</v>
      </c>
      <c r="H738" t="s">
        <v>139</v>
      </c>
      <c r="I738">
        <v>100</v>
      </c>
      <c r="J738" t="s">
        <v>2063</v>
      </c>
      <c r="K738">
        <v>46</v>
      </c>
      <c r="L738">
        <v>1</v>
      </c>
      <c r="M738" t="s">
        <v>8</v>
      </c>
      <c r="N738" t="s">
        <v>2038</v>
      </c>
      <c r="O738" t="s">
        <v>10</v>
      </c>
      <c r="P738" t="s">
        <v>2122</v>
      </c>
    </row>
    <row r="739" spans="1:16" hidden="1" x14ac:dyDescent="0.2">
      <c r="A739" t="s">
        <v>201</v>
      </c>
      <c r="B739">
        <v>138</v>
      </c>
      <c r="C739" t="s">
        <v>2059</v>
      </c>
      <c r="D739" t="s">
        <v>2066</v>
      </c>
      <c r="E739" t="s">
        <v>2082</v>
      </c>
      <c r="F739" t="s">
        <v>2121</v>
      </c>
      <c r="G739" t="s">
        <v>138</v>
      </c>
      <c r="H739" t="s">
        <v>139</v>
      </c>
      <c r="I739">
        <v>100</v>
      </c>
      <c r="J739" t="s">
        <v>2063</v>
      </c>
      <c r="K739">
        <v>47</v>
      </c>
      <c r="L739">
        <v>1</v>
      </c>
      <c r="M739" t="s">
        <v>8</v>
      </c>
      <c r="N739" t="s">
        <v>2038</v>
      </c>
      <c r="O739" t="s">
        <v>10</v>
      </c>
      <c r="P739" t="s">
        <v>2122</v>
      </c>
    </row>
    <row r="740" spans="1:16" hidden="1" x14ac:dyDescent="0.2">
      <c r="A740" t="s">
        <v>202</v>
      </c>
      <c r="B740">
        <v>143</v>
      </c>
      <c r="C740" t="s">
        <v>2059</v>
      </c>
      <c r="D740" t="s">
        <v>2066</v>
      </c>
      <c r="E740" t="s">
        <v>2082</v>
      </c>
      <c r="F740" t="s">
        <v>2121</v>
      </c>
      <c r="G740" t="s">
        <v>138</v>
      </c>
      <c r="H740" t="s">
        <v>139</v>
      </c>
      <c r="I740">
        <v>99.447513812154696</v>
      </c>
      <c r="J740" t="s">
        <v>2063</v>
      </c>
      <c r="K740">
        <v>46</v>
      </c>
      <c r="L740">
        <v>1</v>
      </c>
      <c r="M740" t="s">
        <v>8</v>
      </c>
      <c r="N740" t="s">
        <v>2038</v>
      </c>
      <c r="O740" t="s">
        <v>10</v>
      </c>
      <c r="P740" t="s">
        <v>2122</v>
      </c>
    </row>
    <row r="741" spans="1:16" hidden="1" x14ac:dyDescent="0.2">
      <c r="A741" t="s">
        <v>796</v>
      </c>
      <c r="B741">
        <v>848</v>
      </c>
      <c r="C741" t="s">
        <v>2059</v>
      </c>
      <c r="D741" t="s">
        <v>2066</v>
      </c>
      <c r="E741" t="s">
        <v>2082</v>
      </c>
      <c r="F741" t="s">
        <v>2121</v>
      </c>
      <c r="G741" t="s">
        <v>138</v>
      </c>
      <c r="H741" t="s">
        <v>139</v>
      </c>
      <c r="I741">
        <v>99.447513812154696</v>
      </c>
      <c r="J741" t="s">
        <v>2063</v>
      </c>
      <c r="K741">
        <v>47</v>
      </c>
      <c r="L741">
        <v>1</v>
      </c>
      <c r="M741" t="s">
        <v>8</v>
      </c>
      <c r="N741" t="s">
        <v>2038</v>
      </c>
      <c r="O741" t="s">
        <v>10</v>
      </c>
      <c r="P741" t="s">
        <v>2122</v>
      </c>
    </row>
    <row r="742" spans="1:16" hidden="1" x14ac:dyDescent="0.2">
      <c r="A742" t="s">
        <v>1048</v>
      </c>
      <c r="B742">
        <v>1234</v>
      </c>
      <c r="C742" t="s">
        <v>2059</v>
      </c>
      <c r="D742" t="s">
        <v>2066</v>
      </c>
      <c r="E742" t="s">
        <v>2082</v>
      </c>
      <c r="F742" t="s">
        <v>2121</v>
      </c>
      <c r="G742" t="s">
        <v>138</v>
      </c>
      <c r="H742" t="s">
        <v>139</v>
      </c>
      <c r="I742">
        <v>100</v>
      </c>
      <c r="J742" t="s">
        <v>2063</v>
      </c>
      <c r="K742">
        <v>47</v>
      </c>
      <c r="L742">
        <v>1</v>
      </c>
      <c r="M742" t="s">
        <v>8</v>
      </c>
      <c r="N742" t="s">
        <v>2038</v>
      </c>
      <c r="O742" t="s">
        <v>10</v>
      </c>
      <c r="P742" t="s">
        <v>2122</v>
      </c>
    </row>
    <row r="743" spans="1:16" hidden="1" x14ac:dyDescent="0.2">
      <c r="A743" t="s">
        <v>1688</v>
      </c>
      <c r="B743">
        <v>2088</v>
      </c>
      <c r="C743" t="s">
        <v>2059</v>
      </c>
      <c r="D743" t="s">
        <v>2066</v>
      </c>
      <c r="E743" t="s">
        <v>2082</v>
      </c>
      <c r="F743" t="s">
        <v>2121</v>
      </c>
      <c r="G743" t="s">
        <v>138</v>
      </c>
      <c r="H743" t="s">
        <v>139</v>
      </c>
      <c r="I743">
        <v>99.425287356321803</v>
      </c>
      <c r="J743" t="s">
        <v>2063</v>
      </c>
      <c r="K743">
        <v>35</v>
      </c>
      <c r="L743">
        <v>1</v>
      </c>
      <c r="M743" t="s">
        <v>8</v>
      </c>
      <c r="N743" t="s">
        <v>2038</v>
      </c>
      <c r="O743" t="s">
        <v>10</v>
      </c>
      <c r="P743" t="s">
        <v>2122</v>
      </c>
    </row>
    <row r="744" spans="1:16" hidden="1" x14ac:dyDescent="0.2">
      <c r="A744" t="s">
        <v>296</v>
      </c>
      <c r="B744">
        <v>207</v>
      </c>
      <c r="C744" t="s">
        <v>2059</v>
      </c>
      <c r="D744" t="s">
        <v>2066</v>
      </c>
      <c r="E744" t="s">
        <v>2082</v>
      </c>
      <c r="F744" t="s">
        <v>2121</v>
      </c>
      <c r="G744" t="s">
        <v>138</v>
      </c>
      <c r="H744" t="s">
        <v>137</v>
      </c>
      <c r="I744">
        <v>99.447513812154696</v>
      </c>
      <c r="J744" t="s">
        <v>2063</v>
      </c>
      <c r="K744">
        <v>9</v>
      </c>
      <c r="L744">
        <v>0.9</v>
      </c>
      <c r="M744" t="s">
        <v>8</v>
      </c>
      <c r="N744" t="s">
        <v>2038</v>
      </c>
      <c r="O744" t="s">
        <v>10</v>
      </c>
      <c r="P744" t="s">
        <v>2167</v>
      </c>
    </row>
    <row r="745" spans="1:16" hidden="1" x14ac:dyDescent="0.2">
      <c r="A745" t="s">
        <v>322</v>
      </c>
      <c r="B745">
        <v>229</v>
      </c>
      <c r="C745" t="s">
        <v>2059</v>
      </c>
      <c r="D745" t="s">
        <v>2066</v>
      </c>
      <c r="E745" t="s">
        <v>2082</v>
      </c>
      <c r="F745" t="s">
        <v>2121</v>
      </c>
      <c r="G745" t="s">
        <v>138</v>
      </c>
      <c r="H745" t="s">
        <v>137</v>
      </c>
      <c r="I745">
        <v>100</v>
      </c>
      <c r="J745" t="s">
        <v>2063</v>
      </c>
      <c r="K745">
        <v>9</v>
      </c>
      <c r="L745">
        <v>0.9</v>
      </c>
      <c r="M745" t="s">
        <v>8</v>
      </c>
      <c r="N745" t="s">
        <v>2038</v>
      </c>
      <c r="O745" t="s">
        <v>10</v>
      </c>
      <c r="P745" t="s">
        <v>2167</v>
      </c>
    </row>
    <row r="746" spans="1:16" hidden="1" x14ac:dyDescent="0.2">
      <c r="A746" t="s">
        <v>443</v>
      </c>
      <c r="B746">
        <v>382</v>
      </c>
      <c r="C746" t="s">
        <v>2059</v>
      </c>
      <c r="D746" t="s">
        <v>2066</v>
      </c>
      <c r="E746" t="s">
        <v>2082</v>
      </c>
      <c r="F746" t="s">
        <v>2121</v>
      </c>
      <c r="G746" t="s">
        <v>138</v>
      </c>
      <c r="H746" t="s">
        <v>137</v>
      </c>
      <c r="I746">
        <v>99.4444444444444</v>
      </c>
      <c r="J746" t="s">
        <v>2063</v>
      </c>
      <c r="K746">
        <v>9</v>
      </c>
      <c r="L746">
        <v>0.9</v>
      </c>
      <c r="M746" t="s">
        <v>8</v>
      </c>
      <c r="N746" t="s">
        <v>2038</v>
      </c>
      <c r="O746" t="s">
        <v>10</v>
      </c>
      <c r="P746" t="s">
        <v>2167</v>
      </c>
    </row>
    <row r="747" spans="1:16" hidden="1" x14ac:dyDescent="0.2">
      <c r="A747" t="s">
        <v>622</v>
      </c>
      <c r="B747">
        <v>626</v>
      </c>
      <c r="C747" t="s">
        <v>2059</v>
      </c>
      <c r="D747" t="s">
        <v>2066</v>
      </c>
      <c r="E747" t="s">
        <v>2082</v>
      </c>
      <c r="F747" t="s">
        <v>2121</v>
      </c>
      <c r="G747" t="s">
        <v>138</v>
      </c>
      <c r="H747" t="s">
        <v>137</v>
      </c>
      <c r="I747">
        <v>99.4444444444444</v>
      </c>
      <c r="J747" t="s">
        <v>2063</v>
      </c>
      <c r="K747">
        <v>9</v>
      </c>
      <c r="L747">
        <v>0.9</v>
      </c>
      <c r="M747" t="s">
        <v>8</v>
      </c>
      <c r="N747" t="s">
        <v>2038</v>
      </c>
      <c r="O747" t="s">
        <v>10</v>
      </c>
      <c r="P747" t="s">
        <v>2167</v>
      </c>
    </row>
    <row r="748" spans="1:16" hidden="1" x14ac:dyDescent="0.2">
      <c r="A748" t="s">
        <v>888</v>
      </c>
      <c r="B748">
        <v>987</v>
      </c>
      <c r="C748" t="s">
        <v>2059</v>
      </c>
      <c r="D748" t="s">
        <v>2066</v>
      </c>
      <c r="E748" t="s">
        <v>2082</v>
      </c>
      <c r="F748" t="s">
        <v>2121</v>
      </c>
      <c r="G748" t="s">
        <v>138</v>
      </c>
      <c r="H748" t="s">
        <v>137</v>
      </c>
      <c r="I748">
        <v>97.790055248618799</v>
      </c>
      <c r="J748" t="s">
        <v>2063</v>
      </c>
      <c r="K748">
        <v>7</v>
      </c>
      <c r="L748">
        <v>1</v>
      </c>
      <c r="M748" t="s">
        <v>8</v>
      </c>
      <c r="N748" t="s">
        <v>2038</v>
      </c>
      <c r="O748" t="s">
        <v>10</v>
      </c>
      <c r="P748" t="s">
        <v>2167</v>
      </c>
    </row>
    <row r="749" spans="1:16" hidden="1" x14ac:dyDescent="0.2">
      <c r="A749" t="s">
        <v>989</v>
      </c>
      <c r="B749">
        <v>1144</v>
      </c>
      <c r="C749" t="s">
        <v>2059</v>
      </c>
      <c r="D749" t="s">
        <v>2066</v>
      </c>
      <c r="E749" t="s">
        <v>2082</v>
      </c>
      <c r="F749" t="s">
        <v>2121</v>
      </c>
      <c r="G749" t="s">
        <v>138</v>
      </c>
      <c r="H749" t="s">
        <v>137</v>
      </c>
      <c r="I749">
        <v>100</v>
      </c>
      <c r="J749" t="s">
        <v>2113</v>
      </c>
      <c r="K749">
        <v>9</v>
      </c>
      <c r="L749">
        <v>0.9</v>
      </c>
      <c r="M749" t="s">
        <v>8</v>
      </c>
      <c r="N749" t="s">
        <v>2038</v>
      </c>
      <c r="O749" t="s">
        <v>10</v>
      </c>
      <c r="P749" t="s">
        <v>2167</v>
      </c>
    </row>
    <row r="750" spans="1:16" hidden="1" x14ac:dyDescent="0.2">
      <c r="A750" t="s">
        <v>1125</v>
      </c>
      <c r="B750">
        <v>1329</v>
      </c>
      <c r="C750" t="s">
        <v>2059</v>
      </c>
      <c r="D750" t="s">
        <v>2066</v>
      </c>
      <c r="E750" t="s">
        <v>2082</v>
      </c>
      <c r="F750" t="s">
        <v>2121</v>
      </c>
      <c r="G750" t="s">
        <v>138</v>
      </c>
      <c r="H750" t="s">
        <v>137</v>
      </c>
      <c r="I750">
        <v>99.310344827586206</v>
      </c>
      <c r="J750" t="s">
        <v>2113</v>
      </c>
      <c r="K750">
        <v>9</v>
      </c>
      <c r="L750">
        <v>0.9</v>
      </c>
      <c r="M750" t="s">
        <v>8</v>
      </c>
      <c r="N750" t="s">
        <v>2038</v>
      </c>
      <c r="O750" t="s">
        <v>10</v>
      </c>
      <c r="P750" t="s">
        <v>2167</v>
      </c>
    </row>
    <row r="751" spans="1:16" hidden="1" x14ac:dyDescent="0.2">
      <c r="A751" t="s">
        <v>1147</v>
      </c>
      <c r="B751">
        <v>1375</v>
      </c>
      <c r="C751" t="s">
        <v>2059</v>
      </c>
      <c r="D751" t="s">
        <v>2066</v>
      </c>
      <c r="E751" t="s">
        <v>2082</v>
      </c>
      <c r="F751" t="s">
        <v>2121</v>
      </c>
      <c r="G751" t="s">
        <v>138</v>
      </c>
      <c r="H751" t="s">
        <v>137</v>
      </c>
      <c r="I751">
        <v>100</v>
      </c>
      <c r="J751" t="s">
        <v>2113</v>
      </c>
      <c r="K751">
        <v>9</v>
      </c>
      <c r="L751">
        <v>0.9</v>
      </c>
      <c r="M751" t="s">
        <v>8</v>
      </c>
      <c r="N751" t="s">
        <v>2038</v>
      </c>
      <c r="O751" t="s">
        <v>10</v>
      </c>
      <c r="P751" t="s">
        <v>2167</v>
      </c>
    </row>
    <row r="752" spans="1:16" hidden="1" x14ac:dyDescent="0.2">
      <c r="A752" t="s">
        <v>1438</v>
      </c>
      <c r="B752">
        <v>1747</v>
      </c>
      <c r="C752" t="s">
        <v>2059</v>
      </c>
      <c r="D752" t="s">
        <v>2066</v>
      </c>
      <c r="E752" t="s">
        <v>2082</v>
      </c>
      <c r="F752" t="s">
        <v>2121</v>
      </c>
      <c r="G752" t="s">
        <v>138</v>
      </c>
      <c r="H752" t="s">
        <v>137</v>
      </c>
      <c r="I752">
        <v>98.620689655172399</v>
      </c>
      <c r="J752" t="s">
        <v>2113</v>
      </c>
      <c r="K752">
        <v>9</v>
      </c>
      <c r="L752">
        <v>0.9</v>
      </c>
      <c r="M752" t="s">
        <v>8</v>
      </c>
      <c r="N752" t="s">
        <v>2038</v>
      </c>
      <c r="O752" t="s">
        <v>10</v>
      </c>
      <c r="P752" t="s">
        <v>2167</v>
      </c>
    </row>
    <row r="753" spans="1:16" hidden="1" x14ac:dyDescent="0.2">
      <c r="A753" t="s">
        <v>467</v>
      </c>
      <c r="B753">
        <v>413</v>
      </c>
      <c r="C753" t="s">
        <v>2059</v>
      </c>
      <c r="D753" t="s">
        <v>2066</v>
      </c>
      <c r="E753" t="s">
        <v>2082</v>
      </c>
      <c r="F753" t="s">
        <v>675</v>
      </c>
      <c r="G753" t="s">
        <v>2236</v>
      </c>
      <c r="H753" t="s">
        <v>2237</v>
      </c>
      <c r="I753">
        <v>97.159090909090907</v>
      </c>
      <c r="J753" t="s">
        <v>2063</v>
      </c>
      <c r="K753">
        <v>1</v>
      </c>
      <c r="L753">
        <v>1</v>
      </c>
      <c r="M753" t="s">
        <v>8</v>
      </c>
      <c r="N753" t="s">
        <v>2038</v>
      </c>
      <c r="O753" t="s">
        <v>10</v>
      </c>
      <c r="P753" t="s">
        <v>2238</v>
      </c>
    </row>
    <row r="754" spans="1:16" hidden="1" x14ac:dyDescent="0.2">
      <c r="A754" t="s">
        <v>728</v>
      </c>
      <c r="B754">
        <v>744</v>
      </c>
      <c r="C754" t="s">
        <v>2059</v>
      </c>
      <c r="D754" t="s">
        <v>2066</v>
      </c>
      <c r="E754" t="s">
        <v>2082</v>
      </c>
      <c r="F754" t="s">
        <v>675</v>
      </c>
      <c r="G754" t="s">
        <v>2236</v>
      </c>
      <c r="H754" t="s">
        <v>2237</v>
      </c>
      <c r="I754">
        <v>97.159090909090907</v>
      </c>
      <c r="J754" t="s">
        <v>2063</v>
      </c>
      <c r="K754">
        <v>1</v>
      </c>
      <c r="L754">
        <v>1</v>
      </c>
      <c r="M754" t="s">
        <v>8</v>
      </c>
      <c r="N754" t="s">
        <v>2038</v>
      </c>
      <c r="O754" t="s">
        <v>10</v>
      </c>
      <c r="P754" t="s">
        <v>2238</v>
      </c>
    </row>
    <row r="755" spans="1:16" hidden="1" x14ac:dyDescent="0.2">
      <c r="A755" t="s">
        <v>746</v>
      </c>
      <c r="B755">
        <v>770</v>
      </c>
      <c r="C755" t="s">
        <v>2059</v>
      </c>
      <c r="D755" t="s">
        <v>2066</v>
      </c>
      <c r="E755" t="s">
        <v>2082</v>
      </c>
      <c r="F755" t="s">
        <v>675</v>
      </c>
      <c r="G755" t="s">
        <v>2236</v>
      </c>
      <c r="H755" t="s">
        <v>2237</v>
      </c>
      <c r="I755">
        <v>97.159090909090907</v>
      </c>
      <c r="J755" t="s">
        <v>2063</v>
      </c>
      <c r="K755">
        <v>1</v>
      </c>
      <c r="L755">
        <v>1</v>
      </c>
      <c r="M755" t="s">
        <v>8</v>
      </c>
      <c r="N755" t="s">
        <v>2038</v>
      </c>
      <c r="O755" t="s">
        <v>10</v>
      </c>
      <c r="P755" t="s">
        <v>2238</v>
      </c>
    </row>
    <row r="756" spans="1:16" x14ac:dyDescent="0.2">
      <c r="A756" t="s">
        <v>362</v>
      </c>
      <c r="B756">
        <v>271</v>
      </c>
      <c r="C756" t="s">
        <v>2059</v>
      </c>
      <c r="D756" t="s">
        <v>2066</v>
      </c>
      <c r="E756" t="s">
        <v>2090</v>
      </c>
      <c r="F756" t="s">
        <v>2190</v>
      </c>
      <c r="G756" t="s">
        <v>364</v>
      </c>
      <c r="I756">
        <v>97.790055248618799</v>
      </c>
      <c r="J756" t="s">
        <v>2063</v>
      </c>
      <c r="K756">
        <v>29</v>
      </c>
      <c r="L756">
        <v>1</v>
      </c>
      <c r="M756" t="s">
        <v>7</v>
      </c>
      <c r="N756" t="s">
        <v>2714</v>
      </c>
      <c r="O756" t="s">
        <v>10</v>
      </c>
    </row>
    <row r="757" spans="1:16" x14ac:dyDescent="0.2">
      <c r="A757" t="s">
        <v>2711</v>
      </c>
      <c r="B757">
        <v>2555</v>
      </c>
      <c r="C757" t="s">
        <v>2059</v>
      </c>
      <c r="D757" t="s">
        <v>2069</v>
      </c>
      <c r="I757">
        <v>97.860962566844904</v>
      </c>
      <c r="J757" t="s">
        <v>2063</v>
      </c>
      <c r="K757">
        <v>1</v>
      </c>
      <c r="L757">
        <v>1</v>
      </c>
      <c r="M757" t="s">
        <v>2050</v>
      </c>
      <c r="N757" t="s">
        <v>2714</v>
      </c>
      <c r="O757" t="s">
        <v>10</v>
      </c>
    </row>
    <row r="758" spans="1:16" x14ac:dyDescent="0.2">
      <c r="A758" t="s">
        <v>969</v>
      </c>
      <c r="B758">
        <v>1087</v>
      </c>
      <c r="C758" t="s">
        <v>2059</v>
      </c>
      <c r="D758" t="s">
        <v>2066</v>
      </c>
      <c r="E758" t="s">
        <v>2080</v>
      </c>
      <c r="F758" t="s">
        <v>2081</v>
      </c>
      <c r="I758">
        <v>98.305084745762699</v>
      </c>
      <c r="J758" t="s">
        <v>2063</v>
      </c>
      <c r="K758">
        <v>50</v>
      </c>
      <c r="L758">
        <v>1</v>
      </c>
      <c r="M758" t="s">
        <v>2052</v>
      </c>
      <c r="N758" t="s">
        <v>2714</v>
      </c>
      <c r="O758" t="s">
        <v>2040</v>
      </c>
    </row>
    <row r="759" spans="1:16" x14ac:dyDescent="0.2">
      <c r="A759" t="s">
        <v>1893</v>
      </c>
      <c r="B759">
        <v>2323</v>
      </c>
      <c r="C759" t="s">
        <v>2059</v>
      </c>
      <c r="D759" t="s">
        <v>2066</v>
      </c>
      <c r="E759" t="s">
        <v>2080</v>
      </c>
      <c r="F759" t="s">
        <v>283</v>
      </c>
      <c r="I759">
        <v>98.314606741573002</v>
      </c>
      <c r="J759" t="s">
        <v>2063</v>
      </c>
      <c r="K759">
        <v>50</v>
      </c>
      <c r="L759">
        <v>1</v>
      </c>
      <c r="M759" t="s">
        <v>2052</v>
      </c>
      <c r="N759" t="s">
        <v>2714</v>
      </c>
      <c r="O759" t="s">
        <v>10</v>
      </c>
    </row>
    <row r="760" spans="1:16" x14ac:dyDescent="0.2">
      <c r="A760" t="s">
        <v>785</v>
      </c>
      <c r="B760">
        <v>839</v>
      </c>
      <c r="C760" t="s">
        <v>2059</v>
      </c>
      <c r="D760" t="s">
        <v>2066</v>
      </c>
      <c r="E760" t="s">
        <v>2090</v>
      </c>
      <c r="F760" t="s">
        <v>2190</v>
      </c>
      <c r="G760" t="s">
        <v>364</v>
      </c>
      <c r="I760">
        <v>98.324022346368693</v>
      </c>
      <c r="J760" t="s">
        <v>2063</v>
      </c>
      <c r="K760">
        <v>36</v>
      </c>
      <c r="L760">
        <v>1</v>
      </c>
      <c r="M760" t="s">
        <v>7</v>
      </c>
      <c r="N760" t="s">
        <v>2714</v>
      </c>
      <c r="O760" t="s">
        <v>10</v>
      </c>
    </row>
    <row r="761" spans="1:16" x14ac:dyDescent="0.2">
      <c r="A761" t="s">
        <v>1676</v>
      </c>
      <c r="B761">
        <v>2066</v>
      </c>
      <c r="C761" t="s">
        <v>2059</v>
      </c>
      <c r="D761" t="s">
        <v>2066</v>
      </c>
      <c r="E761" t="s">
        <v>2079</v>
      </c>
      <c r="F761" t="s">
        <v>177</v>
      </c>
      <c r="G761" t="s">
        <v>176</v>
      </c>
      <c r="I761">
        <v>98.3333333333333</v>
      </c>
      <c r="J761" t="s">
        <v>2063</v>
      </c>
      <c r="K761">
        <v>7</v>
      </c>
      <c r="L761">
        <v>1</v>
      </c>
      <c r="M761" t="s">
        <v>7</v>
      </c>
      <c r="N761" t="s">
        <v>2714</v>
      </c>
      <c r="O761" t="s">
        <v>10</v>
      </c>
    </row>
    <row r="762" spans="1:16" x14ac:dyDescent="0.2">
      <c r="A762" t="s">
        <v>1905</v>
      </c>
      <c r="B762">
        <v>2333</v>
      </c>
      <c r="C762" t="s">
        <v>2059</v>
      </c>
      <c r="D762" t="s">
        <v>2066</v>
      </c>
      <c r="E762" t="s">
        <v>2079</v>
      </c>
      <c r="F762" t="s">
        <v>177</v>
      </c>
      <c r="G762" t="s">
        <v>176</v>
      </c>
      <c r="I762">
        <v>98.3333333333333</v>
      </c>
      <c r="J762" t="s">
        <v>2063</v>
      </c>
      <c r="K762">
        <v>22</v>
      </c>
      <c r="L762">
        <v>1</v>
      </c>
      <c r="M762" t="s">
        <v>7</v>
      </c>
      <c r="N762" t="s">
        <v>2714</v>
      </c>
      <c r="O762" t="s">
        <v>10</v>
      </c>
    </row>
    <row r="763" spans="1:16" x14ac:dyDescent="0.2">
      <c r="A763" t="s">
        <v>1372</v>
      </c>
      <c r="B763">
        <v>1622</v>
      </c>
      <c r="C763" t="s">
        <v>2059</v>
      </c>
      <c r="D763" t="s">
        <v>2066</v>
      </c>
      <c r="E763" t="s">
        <v>2082</v>
      </c>
      <c r="F763" t="s">
        <v>2187</v>
      </c>
      <c r="G763" t="s">
        <v>351</v>
      </c>
      <c r="H763" t="s">
        <v>352</v>
      </c>
      <c r="I763">
        <v>98.3333333333333</v>
      </c>
      <c r="J763" t="s">
        <v>2063</v>
      </c>
      <c r="K763">
        <v>2</v>
      </c>
      <c r="L763">
        <v>1</v>
      </c>
      <c r="M763" t="s">
        <v>8</v>
      </c>
      <c r="N763" t="s">
        <v>2038</v>
      </c>
      <c r="O763" t="s">
        <v>10</v>
      </c>
      <c r="P763" t="s">
        <v>2188</v>
      </c>
    </row>
    <row r="764" spans="1:16" x14ac:dyDescent="0.2">
      <c r="A764" t="s">
        <v>1597</v>
      </c>
      <c r="B764">
        <v>1964</v>
      </c>
      <c r="C764" t="s">
        <v>2059</v>
      </c>
      <c r="D764" t="s">
        <v>2066</v>
      </c>
      <c r="E764" t="s">
        <v>2082</v>
      </c>
      <c r="F764" t="s">
        <v>141</v>
      </c>
      <c r="G764" t="s">
        <v>1600</v>
      </c>
      <c r="H764" t="s">
        <v>1601</v>
      </c>
      <c r="I764">
        <v>98.3333333333333</v>
      </c>
      <c r="J764" t="s">
        <v>2063</v>
      </c>
      <c r="K764">
        <v>25</v>
      </c>
      <c r="L764">
        <v>0.89285714285714302</v>
      </c>
      <c r="M764" t="s">
        <v>8</v>
      </c>
      <c r="N764" t="s">
        <v>2038</v>
      </c>
      <c r="O764" t="s">
        <v>10</v>
      </c>
      <c r="P764" t="s">
        <v>2585</v>
      </c>
    </row>
    <row r="765" spans="1:16" x14ac:dyDescent="0.2">
      <c r="A765" t="s">
        <v>2429</v>
      </c>
      <c r="B765">
        <v>1200</v>
      </c>
      <c r="C765" t="s">
        <v>2059</v>
      </c>
      <c r="D765" t="s">
        <v>2069</v>
      </c>
      <c r="E765" t="s">
        <v>2070</v>
      </c>
      <c r="F765" t="s">
        <v>2169</v>
      </c>
      <c r="I765">
        <v>98.342541436464103</v>
      </c>
      <c r="J765" t="s">
        <v>2113</v>
      </c>
      <c r="K765">
        <v>50</v>
      </c>
      <c r="L765">
        <v>1</v>
      </c>
      <c r="M765" t="s">
        <v>2052</v>
      </c>
      <c r="N765" t="s">
        <v>2714</v>
      </c>
      <c r="O765" t="s">
        <v>10</v>
      </c>
    </row>
    <row r="766" spans="1:16" x14ac:dyDescent="0.2">
      <c r="A766" t="s">
        <v>2294</v>
      </c>
      <c r="B766">
        <v>613</v>
      </c>
      <c r="C766" t="s">
        <v>2059</v>
      </c>
      <c r="D766" t="s">
        <v>2069</v>
      </c>
      <c r="I766">
        <v>98.342541436464103</v>
      </c>
      <c r="J766" t="s">
        <v>2113</v>
      </c>
      <c r="K766">
        <v>1</v>
      </c>
      <c r="L766">
        <v>1</v>
      </c>
      <c r="M766" t="s">
        <v>2050</v>
      </c>
      <c r="N766" t="s">
        <v>2714</v>
      </c>
      <c r="O766" t="s">
        <v>10</v>
      </c>
    </row>
    <row r="767" spans="1:16" hidden="1" x14ac:dyDescent="0.2">
      <c r="A767" t="s">
        <v>1658</v>
      </c>
      <c r="B767">
        <v>2040</v>
      </c>
      <c r="C767" t="s">
        <v>2059</v>
      </c>
      <c r="D767" t="s">
        <v>2066</v>
      </c>
      <c r="E767" t="s">
        <v>2318</v>
      </c>
      <c r="F767" t="s">
        <v>2355</v>
      </c>
      <c r="G767" t="s">
        <v>1660</v>
      </c>
      <c r="H767" t="s">
        <v>1661</v>
      </c>
      <c r="I767">
        <v>98.342541436464103</v>
      </c>
      <c r="J767" t="s">
        <v>2063</v>
      </c>
      <c r="K767">
        <v>14</v>
      </c>
      <c r="L767">
        <v>0.7</v>
      </c>
      <c r="M767" t="s">
        <v>8</v>
      </c>
      <c r="N767" t="s">
        <v>2038</v>
      </c>
      <c r="O767" t="s">
        <v>10</v>
      </c>
      <c r="P767" t="s">
        <v>2602</v>
      </c>
    </row>
    <row r="768" spans="1:16" x14ac:dyDescent="0.2">
      <c r="A768" t="s">
        <v>629</v>
      </c>
      <c r="B768">
        <v>633</v>
      </c>
      <c r="C768" t="s">
        <v>2059</v>
      </c>
      <c r="D768" t="s">
        <v>2060</v>
      </c>
      <c r="E768" t="s">
        <v>2206</v>
      </c>
      <c r="F768" t="s">
        <v>118</v>
      </c>
      <c r="I768">
        <v>98.342541436464103</v>
      </c>
      <c r="J768" t="s">
        <v>2113</v>
      </c>
      <c r="K768">
        <v>40</v>
      </c>
      <c r="L768">
        <v>0.86956521739130399</v>
      </c>
      <c r="M768" t="s">
        <v>2052</v>
      </c>
      <c r="N768" t="s">
        <v>2714</v>
      </c>
      <c r="O768" t="s">
        <v>10</v>
      </c>
    </row>
    <row r="769" spans="1:16" x14ac:dyDescent="0.2">
      <c r="A769" t="s">
        <v>1677</v>
      </c>
      <c r="B769">
        <v>2067</v>
      </c>
      <c r="C769" t="s">
        <v>2059</v>
      </c>
      <c r="D769" t="s">
        <v>2066</v>
      </c>
      <c r="E769" t="s">
        <v>2079</v>
      </c>
      <c r="F769" t="s">
        <v>2298</v>
      </c>
      <c r="G769" t="s">
        <v>862</v>
      </c>
      <c r="I769">
        <v>98.342541436464103</v>
      </c>
      <c r="J769" t="s">
        <v>2063</v>
      </c>
      <c r="K769">
        <v>49</v>
      </c>
      <c r="L769">
        <v>1</v>
      </c>
      <c r="M769" t="s">
        <v>7</v>
      </c>
      <c r="N769" t="s">
        <v>2714</v>
      </c>
      <c r="O769" t="s">
        <v>10</v>
      </c>
    </row>
    <row r="770" spans="1:16" hidden="1" x14ac:dyDescent="0.2">
      <c r="A770" t="s">
        <v>689</v>
      </c>
      <c r="B770">
        <v>695</v>
      </c>
      <c r="C770" t="s">
        <v>2059</v>
      </c>
      <c r="D770" t="s">
        <v>2066</v>
      </c>
      <c r="E770" t="s">
        <v>2318</v>
      </c>
      <c r="F770" t="s">
        <v>2319</v>
      </c>
      <c r="G770" t="s">
        <v>2320</v>
      </c>
      <c r="H770" t="s">
        <v>2321</v>
      </c>
      <c r="I770">
        <v>97.237569060773495</v>
      </c>
      <c r="J770" t="s">
        <v>2063</v>
      </c>
      <c r="K770">
        <v>5</v>
      </c>
      <c r="L770">
        <v>1</v>
      </c>
      <c r="M770" t="s">
        <v>8</v>
      </c>
      <c r="N770" t="s">
        <v>2038</v>
      </c>
      <c r="O770" t="s">
        <v>10</v>
      </c>
      <c r="P770" t="s">
        <v>2322</v>
      </c>
    </row>
    <row r="771" spans="1:16" hidden="1" x14ac:dyDescent="0.2">
      <c r="A771" t="s">
        <v>1800</v>
      </c>
      <c r="B771">
        <v>2218</v>
      </c>
      <c r="C771" t="s">
        <v>2059</v>
      </c>
      <c r="D771" t="s">
        <v>2066</v>
      </c>
      <c r="E771" t="s">
        <v>2318</v>
      </c>
      <c r="F771" t="s">
        <v>2319</v>
      </c>
      <c r="G771" t="s">
        <v>2320</v>
      </c>
      <c r="H771" t="s">
        <v>2645</v>
      </c>
      <c r="I771">
        <v>98.895027624309407</v>
      </c>
      <c r="J771" t="s">
        <v>2063</v>
      </c>
      <c r="K771">
        <v>4</v>
      </c>
      <c r="L771">
        <v>1</v>
      </c>
      <c r="M771" t="s">
        <v>8</v>
      </c>
      <c r="N771" t="s">
        <v>2038</v>
      </c>
      <c r="O771" t="s">
        <v>10</v>
      </c>
      <c r="P771" t="s">
        <v>2646</v>
      </c>
    </row>
    <row r="772" spans="1:16" x14ac:dyDescent="0.2">
      <c r="A772" t="s">
        <v>1924</v>
      </c>
      <c r="B772">
        <v>2369</v>
      </c>
      <c r="C772" t="s">
        <v>2059</v>
      </c>
      <c r="D772" t="s">
        <v>2066</v>
      </c>
      <c r="E772" t="s">
        <v>2079</v>
      </c>
      <c r="F772" t="s">
        <v>2298</v>
      </c>
      <c r="G772" t="s">
        <v>862</v>
      </c>
      <c r="I772">
        <v>98.342541436464103</v>
      </c>
      <c r="J772" t="s">
        <v>2063</v>
      </c>
      <c r="K772">
        <v>49</v>
      </c>
      <c r="L772">
        <v>1</v>
      </c>
      <c r="M772" t="s">
        <v>7</v>
      </c>
      <c r="N772" t="s">
        <v>2714</v>
      </c>
      <c r="O772" t="s">
        <v>10</v>
      </c>
    </row>
    <row r="773" spans="1:16" x14ac:dyDescent="0.2">
      <c r="A773" t="s">
        <v>2031</v>
      </c>
      <c r="B773">
        <v>2593</v>
      </c>
      <c r="C773" t="s">
        <v>2059</v>
      </c>
      <c r="D773" t="s">
        <v>2066</v>
      </c>
      <c r="E773" t="s">
        <v>2079</v>
      </c>
      <c r="F773" t="s">
        <v>2298</v>
      </c>
      <c r="I773">
        <v>98.342541436464103</v>
      </c>
      <c r="J773" t="s">
        <v>2063</v>
      </c>
      <c r="K773">
        <v>50</v>
      </c>
      <c r="L773">
        <v>1</v>
      </c>
      <c r="M773" t="s">
        <v>2052</v>
      </c>
      <c r="N773" t="s">
        <v>2714</v>
      </c>
      <c r="O773" t="s">
        <v>10</v>
      </c>
    </row>
    <row r="774" spans="1:16" x14ac:dyDescent="0.2">
      <c r="A774" t="s">
        <v>841</v>
      </c>
      <c r="B774">
        <v>900</v>
      </c>
      <c r="C774" t="s">
        <v>2059</v>
      </c>
      <c r="D774" t="s">
        <v>2066</v>
      </c>
      <c r="E774" t="s">
        <v>2080</v>
      </c>
      <c r="F774" t="s">
        <v>2193</v>
      </c>
      <c r="G774" t="s">
        <v>368</v>
      </c>
      <c r="I774">
        <v>98.342541436464103</v>
      </c>
      <c r="J774" t="s">
        <v>2063</v>
      </c>
      <c r="K774">
        <v>46</v>
      </c>
      <c r="L774">
        <v>1</v>
      </c>
      <c r="M774" t="s">
        <v>7</v>
      </c>
      <c r="N774" t="s">
        <v>2714</v>
      </c>
      <c r="O774" t="s">
        <v>10</v>
      </c>
    </row>
    <row r="775" spans="1:16" hidden="1" x14ac:dyDescent="0.2">
      <c r="A775" t="s">
        <v>398</v>
      </c>
      <c r="B775">
        <v>316</v>
      </c>
      <c r="C775" t="s">
        <v>2059</v>
      </c>
      <c r="D775" t="s">
        <v>2066</v>
      </c>
      <c r="E775" t="s">
        <v>2090</v>
      </c>
      <c r="F775" t="s">
        <v>2190</v>
      </c>
      <c r="G775" t="s">
        <v>364</v>
      </c>
      <c r="H775" t="s">
        <v>2209</v>
      </c>
      <c r="I775">
        <v>100</v>
      </c>
      <c r="J775" t="s">
        <v>2063</v>
      </c>
      <c r="K775">
        <v>5</v>
      </c>
      <c r="L775">
        <v>0.83333333333333304</v>
      </c>
      <c r="M775" t="s">
        <v>8</v>
      </c>
      <c r="N775" t="s">
        <v>2038</v>
      </c>
      <c r="O775" t="s">
        <v>10</v>
      </c>
      <c r="P775" t="s">
        <v>2210</v>
      </c>
    </row>
    <row r="776" spans="1:16" hidden="1" x14ac:dyDescent="0.2">
      <c r="A776" t="s">
        <v>420</v>
      </c>
      <c r="B776">
        <v>352</v>
      </c>
      <c r="C776" t="s">
        <v>2059</v>
      </c>
      <c r="D776" t="s">
        <v>2066</v>
      </c>
      <c r="E776" t="s">
        <v>2090</v>
      </c>
      <c r="F776" t="s">
        <v>2190</v>
      </c>
      <c r="G776" t="s">
        <v>364</v>
      </c>
      <c r="H776" t="s">
        <v>2209</v>
      </c>
      <c r="I776">
        <v>99.447513812154696</v>
      </c>
      <c r="J776" t="s">
        <v>2063</v>
      </c>
      <c r="K776">
        <v>5</v>
      </c>
      <c r="L776">
        <v>0.83333333333333304</v>
      </c>
      <c r="M776" t="s">
        <v>8</v>
      </c>
      <c r="N776" t="s">
        <v>2038</v>
      </c>
      <c r="O776" t="s">
        <v>10</v>
      </c>
      <c r="P776" t="s">
        <v>2210</v>
      </c>
    </row>
    <row r="777" spans="1:16" hidden="1" x14ac:dyDescent="0.2">
      <c r="A777" t="s">
        <v>440</v>
      </c>
      <c r="B777">
        <v>370</v>
      </c>
      <c r="C777" t="s">
        <v>2059</v>
      </c>
      <c r="D777" t="s">
        <v>2066</v>
      </c>
      <c r="E777" t="s">
        <v>2090</v>
      </c>
      <c r="F777" t="s">
        <v>2190</v>
      </c>
      <c r="G777" t="s">
        <v>364</v>
      </c>
      <c r="H777" t="s">
        <v>2209</v>
      </c>
      <c r="I777">
        <v>99.447513812154696</v>
      </c>
      <c r="J777" t="s">
        <v>2063</v>
      </c>
      <c r="K777">
        <v>5</v>
      </c>
      <c r="L777">
        <v>0.83333333333333304</v>
      </c>
      <c r="M777" t="s">
        <v>8</v>
      </c>
      <c r="N777" t="s">
        <v>2038</v>
      </c>
      <c r="O777" t="s">
        <v>10</v>
      </c>
      <c r="P777" t="s">
        <v>2210</v>
      </c>
    </row>
    <row r="778" spans="1:16" hidden="1" x14ac:dyDescent="0.2">
      <c r="A778" t="s">
        <v>492</v>
      </c>
      <c r="B778">
        <v>465</v>
      </c>
      <c r="C778" t="s">
        <v>2059</v>
      </c>
      <c r="D778" t="s">
        <v>2066</v>
      </c>
      <c r="E778" t="s">
        <v>2090</v>
      </c>
      <c r="F778" t="s">
        <v>2190</v>
      </c>
      <c r="G778" t="s">
        <v>364</v>
      </c>
      <c r="H778" t="s">
        <v>2209</v>
      </c>
      <c r="I778">
        <v>99.447513812154696</v>
      </c>
      <c r="J778" t="s">
        <v>2063</v>
      </c>
      <c r="K778">
        <v>5</v>
      </c>
      <c r="L778">
        <v>0.55555555555555602</v>
      </c>
      <c r="M778" t="s">
        <v>8</v>
      </c>
      <c r="N778" t="s">
        <v>2038</v>
      </c>
      <c r="O778" t="s">
        <v>10</v>
      </c>
      <c r="P778" t="s">
        <v>2210</v>
      </c>
    </row>
    <row r="779" spans="1:16" hidden="1" x14ac:dyDescent="0.2">
      <c r="A779" t="s">
        <v>892</v>
      </c>
      <c r="B779">
        <v>992</v>
      </c>
      <c r="C779" t="s">
        <v>2059</v>
      </c>
      <c r="D779" t="s">
        <v>2066</v>
      </c>
      <c r="E779" t="s">
        <v>2090</v>
      </c>
      <c r="F779" t="s">
        <v>2190</v>
      </c>
      <c r="G779" t="s">
        <v>364</v>
      </c>
      <c r="H779" t="s">
        <v>2209</v>
      </c>
      <c r="I779">
        <v>99.447513812154696</v>
      </c>
      <c r="J779" t="s">
        <v>2063</v>
      </c>
      <c r="K779">
        <v>5</v>
      </c>
      <c r="L779">
        <v>0.83333333333333304</v>
      </c>
      <c r="M779" t="s">
        <v>8</v>
      </c>
      <c r="N779" t="s">
        <v>2038</v>
      </c>
      <c r="O779" t="s">
        <v>10</v>
      </c>
      <c r="P779" t="s">
        <v>2210</v>
      </c>
    </row>
    <row r="780" spans="1:16" hidden="1" x14ac:dyDescent="0.2">
      <c r="A780" t="s">
        <v>1345</v>
      </c>
      <c r="B780">
        <v>1595</v>
      </c>
      <c r="C780" t="s">
        <v>2059</v>
      </c>
      <c r="D780" t="s">
        <v>2066</v>
      </c>
      <c r="E780" t="s">
        <v>2090</v>
      </c>
      <c r="F780" t="s">
        <v>2190</v>
      </c>
      <c r="G780" t="s">
        <v>364</v>
      </c>
      <c r="H780" t="s">
        <v>2209</v>
      </c>
      <c r="I780">
        <v>98.895027624309407</v>
      </c>
      <c r="J780" t="s">
        <v>2063</v>
      </c>
      <c r="K780">
        <v>4</v>
      </c>
      <c r="L780">
        <v>0.8</v>
      </c>
      <c r="M780" t="s">
        <v>8</v>
      </c>
      <c r="N780" t="s">
        <v>2038</v>
      </c>
      <c r="O780" t="s">
        <v>10</v>
      </c>
      <c r="P780" t="s">
        <v>2210</v>
      </c>
    </row>
    <row r="781" spans="1:16" hidden="1" x14ac:dyDescent="0.2">
      <c r="A781" t="s">
        <v>776</v>
      </c>
      <c r="B781">
        <v>824</v>
      </c>
      <c r="C781" t="s">
        <v>2059</v>
      </c>
      <c r="D781" t="s">
        <v>2066</v>
      </c>
      <c r="E781" t="s">
        <v>2090</v>
      </c>
      <c r="F781" t="s">
        <v>2190</v>
      </c>
      <c r="G781" t="s">
        <v>364</v>
      </c>
      <c r="H781" t="s">
        <v>2343</v>
      </c>
      <c r="I781">
        <v>97.790055248618799</v>
      </c>
      <c r="J781" t="s">
        <v>2063</v>
      </c>
      <c r="K781">
        <v>3</v>
      </c>
      <c r="L781">
        <v>0.75</v>
      </c>
      <c r="M781" t="s">
        <v>8</v>
      </c>
      <c r="N781" t="s">
        <v>2038</v>
      </c>
      <c r="O781" t="s">
        <v>10</v>
      </c>
      <c r="P781" t="s">
        <v>2344</v>
      </c>
    </row>
    <row r="782" spans="1:16" x14ac:dyDescent="0.2">
      <c r="A782" t="s">
        <v>1671</v>
      </c>
      <c r="B782">
        <v>2055</v>
      </c>
      <c r="C782" t="s">
        <v>2059</v>
      </c>
      <c r="D782" t="s">
        <v>2066</v>
      </c>
      <c r="E782" t="s">
        <v>2080</v>
      </c>
      <c r="F782" t="s">
        <v>2389</v>
      </c>
      <c r="G782" t="s">
        <v>2390</v>
      </c>
      <c r="I782">
        <v>98.342541436464103</v>
      </c>
      <c r="J782" t="s">
        <v>2063</v>
      </c>
      <c r="K782">
        <v>13</v>
      </c>
      <c r="L782">
        <v>1</v>
      </c>
      <c r="M782" t="s">
        <v>7</v>
      </c>
      <c r="N782" t="s">
        <v>2714</v>
      </c>
      <c r="O782" t="s">
        <v>10</v>
      </c>
    </row>
    <row r="783" spans="1:16" x14ac:dyDescent="0.2">
      <c r="A783" t="s">
        <v>1332</v>
      </c>
      <c r="B783">
        <v>1578</v>
      </c>
      <c r="C783" t="s">
        <v>2059</v>
      </c>
      <c r="D783" t="s">
        <v>2066</v>
      </c>
      <c r="E783" t="s">
        <v>2082</v>
      </c>
      <c r="F783" t="s">
        <v>241</v>
      </c>
      <c r="G783" t="s">
        <v>2515</v>
      </c>
      <c r="H783" t="s">
        <v>2516</v>
      </c>
      <c r="I783">
        <v>98.342541436464103</v>
      </c>
      <c r="J783" t="s">
        <v>2063</v>
      </c>
      <c r="K783">
        <v>8</v>
      </c>
      <c r="L783">
        <v>0.296296296296296</v>
      </c>
      <c r="M783" t="s">
        <v>8</v>
      </c>
      <c r="N783" t="s">
        <v>2038</v>
      </c>
      <c r="O783" t="s">
        <v>10</v>
      </c>
      <c r="P783" t="s">
        <v>2517</v>
      </c>
    </row>
    <row r="784" spans="1:16" x14ac:dyDescent="0.2">
      <c r="A784" t="s">
        <v>297</v>
      </c>
      <c r="B784">
        <v>210</v>
      </c>
      <c r="C784" t="s">
        <v>2059</v>
      </c>
      <c r="D784" t="s">
        <v>2066</v>
      </c>
      <c r="E784" t="s">
        <v>2090</v>
      </c>
      <c r="F784" t="s">
        <v>2168</v>
      </c>
      <c r="G784" t="s">
        <v>298</v>
      </c>
      <c r="H784" t="s">
        <v>299</v>
      </c>
      <c r="I784">
        <v>98.342541436464103</v>
      </c>
      <c r="J784" t="s">
        <v>2063</v>
      </c>
      <c r="K784">
        <v>1</v>
      </c>
      <c r="L784">
        <v>1</v>
      </c>
      <c r="M784" t="s">
        <v>8</v>
      </c>
      <c r="N784" t="s">
        <v>2038</v>
      </c>
      <c r="O784" t="s">
        <v>10</v>
      </c>
    </row>
    <row r="785" spans="1:16" x14ac:dyDescent="0.2">
      <c r="A785" t="s">
        <v>924</v>
      </c>
      <c r="B785">
        <v>1028</v>
      </c>
      <c r="C785" t="s">
        <v>2059</v>
      </c>
      <c r="D785" t="s">
        <v>2066</v>
      </c>
      <c r="E785" t="s">
        <v>2090</v>
      </c>
      <c r="F785" t="s">
        <v>2190</v>
      </c>
      <c r="G785" t="s">
        <v>364</v>
      </c>
      <c r="I785">
        <v>98.342541436464103</v>
      </c>
      <c r="J785" t="s">
        <v>2063</v>
      </c>
      <c r="K785">
        <v>26</v>
      </c>
      <c r="L785">
        <v>1</v>
      </c>
      <c r="M785" t="s">
        <v>7</v>
      </c>
      <c r="N785" t="s">
        <v>2714</v>
      </c>
      <c r="O785" t="s">
        <v>10</v>
      </c>
    </row>
    <row r="786" spans="1:16" x14ac:dyDescent="0.2">
      <c r="A786" t="s">
        <v>1554</v>
      </c>
      <c r="B786">
        <v>1903</v>
      </c>
      <c r="C786" t="s">
        <v>2059</v>
      </c>
      <c r="D786" t="s">
        <v>2066</v>
      </c>
      <c r="E786" t="s">
        <v>2079</v>
      </c>
      <c r="I786">
        <v>98.360655737704903</v>
      </c>
      <c r="J786" t="s">
        <v>2063</v>
      </c>
      <c r="K786">
        <v>1</v>
      </c>
      <c r="L786">
        <v>1</v>
      </c>
      <c r="M786" t="s">
        <v>2051</v>
      </c>
      <c r="N786" t="s">
        <v>2714</v>
      </c>
      <c r="O786" t="s">
        <v>10</v>
      </c>
    </row>
    <row r="787" spans="1:16" x14ac:dyDescent="0.2">
      <c r="A787" t="s">
        <v>2606</v>
      </c>
      <c r="B787">
        <v>2059</v>
      </c>
      <c r="C787" t="s">
        <v>2059</v>
      </c>
      <c r="D787" t="s">
        <v>2069</v>
      </c>
      <c r="E787" t="s">
        <v>2127</v>
      </c>
      <c r="F787" t="s">
        <v>2374</v>
      </c>
      <c r="I787">
        <v>98.830409356725099</v>
      </c>
      <c r="J787" t="s">
        <v>2063</v>
      </c>
      <c r="K787">
        <v>1</v>
      </c>
      <c r="L787">
        <v>1</v>
      </c>
      <c r="M787" t="s">
        <v>2052</v>
      </c>
      <c r="N787" t="s">
        <v>2714</v>
      </c>
      <c r="O787" t="s">
        <v>10</v>
      </c>
    </row>
    <row r="788" spans="1:16" x14ac:dyDescent="0.2">
      <c r="A788" t="s">
        <v>1972</v>
      </c>
      <c r="B788">
        <v>2498</v>
      </c>
      <c r="C788" t="s">
        <v>2059</v>
      </c>
      <c r="D788" t="s">
        <v>2066</v>
      </c>
      <c r="E788" t="s">
        <v>2360</v>
      </c>
      <c r="F788" t="s">
        <v>2361</v>
      </c>
      <c r="G788" t="s">
        <v>2362</v>
      </c>
      <c r="I788">
        <v>98.830409356725099</v>
      </c>
      <c r="J788" t="s">
        <v>2063</v>
      </c>
      <c r="K788">
        <v>30</v>
      </c>
      <c r="L788">
        <v>1</v>
      </c>
      <c r="M788" t="s">
        <v>7</v>
      </c>
      <c r="N788" t="s">
        <v>2038</v>
      </c>
      <c r="O788" t="s">
        <v>10</v>
      </c>
    </row>
    <row r="789" spans="1:16" x14ac:dyDescent="0.2">
      <c r="A789" t="s">
        <v>1888</v>
      </c>
      <c r="B789">
        <v>2318</v>
      </c>
      <c r="C789" t="s">
        <v>2059</v>
      </c>
      <c r="D789" t="s">
        <v>2066</v>
      </c>
      <c r="E789" t="s">
        <v>2080</v>
      </c>
      <c r="F789" t="s">
        <v>2389</v>
      </c>
      <c r="G789" t="s">
        <v>2390</v>
      </c>
      <c r="I789">
        <v>98.863636363636402</v>
      </c>
      <c r="J789" t="s">
        <v>2063</v>
      </c>
      <c r="K789">
        <v>22</v>
      </c>
      <c r="L789">
        <v>1</v>
      </c>
      <c r="M789" t="s">
        <v>7</v>
      </c>
      <c r="N789" t="s">
        <v>2714</v>
      </c>
      <c r="O789" t="s">
        <v>10</v>
      </c>
    </row>
    <row r="790" spans="1:16" x14ac:dyDescent="0.2">
      <c r="A790" t="s">
        <v>1367</v>
      </c>
      <c r="B790">
        <v>1617</v>
      </c>
      <c r="C790" t="s">
        <v>2059</v>
      </c>
      <c r="D790" t="s">
        <v>2066</v>
      </c>
      <c r="E790" t="s">
        <v>2082</v>
      </c>
      <c r="F790" t="s">
        <v>603</v>
      </c>
      <c r="G790" t="s">
        <v>1368</v>
      </c>
      <c r="H790" t="s">
        <v>2525</v>
      </c>
      <c r="I790">
        <v>98.870056497175099</v>
      </c>
      <c r="J790" t="s">
        <v>2063</v>
      </c>
      <c r="K790">
        <v>7</v>
      </c>
      <c r="L790">
        <v>0.38888888888888901</v>
      </c>
      <c r="M790" t="s">
        <v>8</v>
      </c>
      <c r="N790" t="s">
        <v>2038</v>
      </c>
      <c r="O790" t="s">
        <v>10</v>
      </c>
      <c r="P790" t="s">
        <v>2526</v>
      </c>
    </row>
    <row r="791" spans="1:16" x14ac:dyDescent="0.2">
      <c r="A791" t="s">
        <v>1004</v>
      </c>
      <c r="B791">
        <v>1155</v>
      </c>
      <c r="C791" t="s">
        <v>2059</v>
      </c>
      <c r="D791" t="s">
        <v>2066</v>
      </c>
      <c r="E791" t="s">
        <v>2079</v>
      </c>
      <c r="F791" t="s">
        <v>464</v>
      </c>
      <c r="I791">
        <v>98.876404494382001</v>
      </c>
      <c r="J791" t="s">
        <v>2063</v>
      </c>
      <c r="K791">
        <v>50</v>
      </c>
      <c r="L791">
        <v>1</v>
      </c>
      <c r="M791" t="s">
        <v>2052</v>
      </c>
      <c r="N791" t="s">
        <v>2714</v>
      </c>
      <c r="O791" t="s">
        <v>10</v>
      </c>
    </row>
    <row r="792" spans="1:16" x14ac:dyDescent="0.2">
      <c r="A792" t="s">
        <v>2513</v>
      </c>
      <c r="B792">
        <v>1568</v>
      </c>
      <c r="C792" t="s">
        <v>2059</v>
      </c>
      <c r="D792" t="s">
        <v>2066</v>
      </c>
      <c r="E792" t="s">
        <v>2090</v>
      </c>
      <c r="F792" t="s">
        <v>46</v>
      </c>
      <c r="I792">
        <v>98.876404494382001</v>
      </c>
      <c r="J792" t="s">
        <v>2063</v>
      </c>
      <c r="K792">
        <v>48</v>
      </c>
      <c r="L792">
        <v>1</v>
      </c>
      <c r="M792" t="s">
        <v>2052</v>
      </c>
      <c r="N792" t="s">
        <v>2714</v>
      </c>
      <c r="O792" t="s">
        <v>10</v>
      </c>
    </row>
    <row r="793" spans="1:16" x14ac:dyDescent="0.2">
      <c r="A793" t="s">
        <v>2576</v>
      </c>
      <c r="B793">
        <v>1923</v>
      </c>
      <c r="C793" t="s">
        <v>2059</v>
      </c>
      <c r="D793" t="s">
        <v>2066</v>
      </c>
      <c r="E793" t="s">
        <v>2090</v>
      </c>
      <c r="F793" t="s">
        <v>46</v>
      </c>
      <c r="I793">
        <v>98.876404494382001</v>
      </c>
      <c r="J793" t="s">
        <v>2063</v>
      </c>
      <c r="K793">
        <v>50</v>
      </c>
      <c r="L793">
        <v>1</v>
      </c>
      <c r="M793" t="s">
        <v>2052</v>
      </c>
      <c r="N793" t="s">
        <v>2714</v>
      </c>
      <c r="O793" t="s">
        <v>10</v>
      </c>
    </row>
    <row r="794" spans="1:16" x14ac:dyDescent="0.2">
      <c r="A794" t="s">
        <v>1130</v>
      </c>
      <c r="B794">
        <v>1342</v>
      </c>
      <c r="C794" t="s">
        <v>2059</v>
      </c>
      <c r="D794" t="s">
        <v>2066</v>
      </c>
      <c r="E794" t="s">
        <v>2079</v>
      </c>
      <c r="F794" t="s">
        <v>177</v>
      </c>
      <c r="G794" t="s">
        <v>176</v>
      </c>
      <c r="I794">
        <v>98.8888888888889</v>
      </c>
      <c r="J794" t="s">
        <v>2063</v>
      </c>
      <c r="K794">
        <v>7</v>
      </c>
      <c r="L794">
        <v>1</v>
      </c>
      <c r="M794" t="s">
        <v>7</v>
      </c>
      <c r="N794" t="s">
        <v>2714</v>
      </c>
      <c r="O794" t="s">
        <v>10</v>
      </c>
    </row>
    <row r="795" spans="1:16" x14ac:dyDescent="0.2">
      <c r="A795" t="s">
        <v>1957</v>
      </c>
      <c r="B795">
        <v>2431</v>
      </c>
      <c r="C795" t="s">
        <v>2059</v>
      </c>
      <c r="D795" t="s">
        <v>2066</v>
      </c>
      <c r="E795" t="s">
        <v>2080</v>
      </c>
      <c r="F795" t="s">
        <v>2389</v>
      </c>
      <c r="G795" t="s">
        <v>2390</v>
      </c>
      <c r="I795">
        <v>98.8888888888889</v>
      </c>
      <c r="J795" t="s">
        <v>2063</v>
      </c>
      <c r="K795">
        <v>22</v>
      </c>
      <c r="L795">
        <v>1</v>
      </c>
      <c r="M795" t="s">
        <v>7</v>
      </c>
      <c r="N795" t="s">
        <v>2714</v>
      </c>
      <c r="O795" t="s">
        <v>10</v>
      </c>
    </row>
    <row r="796" spans="1:16" x14ac:dyDescent="0.2">
      <c r="A796" t="s">
        <v>348</v>
      </c>
      <c r="B796">
        <v>266</v>
      </c>
      <c r="C796" t="s">
        <v>2059</v>
      </c>
      <c r="D796" t="s">
        <v>2066</v>
      </c>
      <c r="E796" t="s">
        <v>2082</v>
      </c>
      <c r="F796" t="s">
        <v>2187</v>
      </c>
      <c r="G796" t="s">
        <v>351</v>
      </c>
      <c r="H796" t="s">
        <v>352</v>
      </c>
      <c r="I796">
        <v>98.8888888888889</v>
      </c>
      <c r="J796" t="s">
        <v>2063</v>
      </c>
      <c r="K796">
        <v>2</v>
      </c>
      <c r="L796">
        <v>1</v>
      </c>
      <c r="M796" t="s">
        <v>8</v>
      </c>
      <c r="N796" t="s">
        <v>2038</v>
      </c>
      <c r="O796" t="s">
        <v>10</v>
      </c>
      <c r="P796" t="s">
        <v>2188</v>
      </c>
    </row>
    <row r="797" spans="1:16" x14ac:dyDescent="0.2">
      <c r="A797" t="s">
        <v>2339</v>
      </c>
      <c r="B797">
        <v>794</v>
      </c>
      <c r="C797" t="s">
        <v>2059</v>
      </c>
      <c r="D797" t="s">
        <v>2069</v>
      </c>
      <c r="E797" t="s">
        <v>2070</v>
      </c>
      <c r="F797" t="s">
        <v>2332</v>
      </c>
      <c r="I797">
        <v>98.895027624309407</v>
      </c>
      <c r="J797" t="s">
        <v>2063</v>
      </c>
      <c r="K797">
        <v>26</v>
      </c>
      <c r="L797">
        <v>1</v>
      </c>
      <c r="M797" t="s">
        <v>2052</v>
      </c>
      <c r="N797" t="s">
        <v>2714</v>
      </c>
      <c r="O797" t="s">
        <v>10</v>
      </c>
    </row>
    <row r="798" spans="1:16" x14ac:dyDescent="0.2">
      <c r="A798" t="s">
        <v>2338</v>
      </c>
      <c r="B798">
        <v>786</v>
      </c>
      <c r="C798" t="s">
        <v>2059</v>
      </c>
      <c r="D798" t="s">
        <v>2069</v>
      </c>
      <c r="I798">
        <v>98.895027624309407</v>
      </c>
      <c r="J798" t="s">
        <v>2113</v>
      </c>
      <c r="K798">
        <v>1</v>
      </c>
      <c r="L798">
        <v>1</v>
      </c>
      <c r="M798" t="s">
        <v>2050</v>
      </c>
      <c r="N798" t="s">
        <v>2714</v>
      </c>
      <c r="O798" t="s">
        <v>10</v>
      </c>
    </row>
    <row r="799" spans="1:16" x14ac:dyDescent="0.2">
      <c r="A799" t="s">
        <v>572</v>
      </c>
      <c r="B799">
        <v>578</v>
      </c>
      <c r="C799" t="s">
        <v>2059</v>
      </c>
      <c r="D799" t="s">
        <v>2060</v>
      </c>
      <c r="E799" t="s">
        <v>2206</v>
      </c>
      <c r="F799" t="s">
        <v>118</v>
      </c>
      <c r="I799">
        <v>98.895027624309407</v>
      </c>
      <c r="J799" t="s">
        <v>2113</v>
      </c>
      <c r="K799">
        <v>40</v>
      </c>
      <c r="L799">
        <v>0.86956521739130399</v>
      </c>
      <c r="M799" t="s">
        <v>2052</v>
      </c>
      <c r="N799" t="s">
        <v>2714</v>
      </c>
      <c r="O799" t="s">
        <v>10</v>
      </c>
    </row>
    <row r="800" spans="1:16" x14ac:dyDescent="0.2">
      <c r="A800" t="s">
        <v>893</v>
      </c>
      <c r="B800">
        <v>998</v>
      </c>
      <c r="C800" t="s">
        <v>2059</v>
      </c>
      <c r="D800" t="s">
        <v>2060</v>
      </c>
      <c r="E800" t="s">
        <v>2206</v>
      </c>
      <c r="F800" t="s">
        <v>118</v>
      </c>
      <c r="I800">
        <v>98.895027624309407</v>
      </c>
      <c r="J800" t="s">
        <v>2113</v>
      </c>
      <c r="K800">
        <v>43</v>
      </c>
      <c r="L800">
        <v>0.89583333333333304</v>
      </c>
      <c r="M800" t="s">
        <v>2052</v>
      </c>
      <c r="N800" t="s">
        <v>2714</v>
      </c>
      <c r="O800" t="s">
        <v>10</v>
      </c>
    </row>
    <row r="801" spans="1:16" x14ac:dyDescent="0.2">
      <c r="A801" t="s">
        <v>1329</v>
      </c>
      <c r="B801">
        <v>1570</v>
      </c>
      <c r="C801" t="s">
        <v>2059</v>
      </c>
      <c r="D801" t="s">
        <v>2060</v>
      </c>
      <c r="E801" t="s">
        <v>2206</v>
      </c>
      <c r="F801" t="s">
        <v>118</v>
      </c>
      <c r="I801">
        <v>98.895027624309407</v>
      </c>
      <c r="J801" t="s">
        <v>2113</v>
      </c>
      <c r="K801">
        <v>43</v>
      </c>
      <c r="L801">
        <v>0.89583333333333304</v>
      </c>
      <c r="M801" t="s">
        <v>2052</v>
      </c>
      <c r="N801" t="s">
        <v>2714</v>
      </c>
      <c r="O801" t="s">
        <v>10</v>
      </c>
    </row>
    <row r="802" spans="1:16" x14ac:dyDescent="0.2">
      <c r="A802" t="s">
        <v>897</v>
      </c>
      <c r="B802">
        <v>1001</v>
      </c>
      <c r="C802" t="s">
        <v>2059</v>
      </c>
      <c r="D802" t="s">
        <v>2066</v>
      </c>
      <c r="E802" t="s">
        <v>2079</v>
      </c>
      <c r="F802" t="s">
        <v>159</v>
      </c>
      <c r="G802" t="s">
        <v>157</v>
      </c>
      <c r="I802">
        <v>98.895027624309407</v>
      </c>
      <c r="J802" t="s">
        <v>2113</v>
      </c>
      <c r="K802">
        <v>29</v>
      </c>
      <c r="L802">
        <v>1</v>
      </c>
      <c r="M802" t="s">
        <v>7</v>
      </c>
      <c r="N802" t="s">
        <v>2714</v>
      </c>
      <c r="O802" t="s">
        <v>10</v>
      </c>
    </row>
    <row r="803" spans="1:16" x14ac:dyDescent="0.2">
      <c r="A803" t="s">
        <v>1501</v>
      </c>
      <c r="B803">
        <v>1843</v>
      </c>
      <c r="C803" t="s">
        <v>2059</v>
      </c>
      <c r="D803" t="s">
        <v>2066</v>
      </c>
      <c r="E803" t="s">
        <v>2079</v>
      </c>
      <c r="F803" t="s">
        <v>2298</v>
      </c>
      <c r="G803" t="s">
        <v>862</v>
      </c>
      <c r="I803">
        <v>98.895027624309407</v>
      </c>
      <c r="J803" t="s">
        <v>2063</v>
      </c>
      <c r="K803">
        <v>49</v>
      </c>
      <c r="L803">
        <v>1</v>
      </c>
      <c r="M803" t="s">
        <v>7</v>
      </c>
      <c r="N803" t="s">
        <v>2714</v>
      </c>
      <c r="O803" t="s">
        <v>10</v>
      </c>
    </row>
    <row r="804" spans="1:16" x14ac:dyDescent="0.2">
      <c r="A804" t="s">
        <v>1744</v>
      </c>
      <c r="B804">
        <v>2169</v>
      </c>
      <c r="C804" t="s">
        <v>2059</v>
      </c>
      <c r="D804" t="s">
        <v>2066</v>
      </c>
      <c r="E804" t="s">
        <v>2079</v>
      </c>
      <c r="F804" t="s">
        <v>2298</v>
      </c>
      <c r="I804">
        <v>98.895027624309407</v>
      </c>
      <c r="J804" t="s">
        <v>2063</v>
      </c>
      <c r="K804">
        <v>50</v>
      </c>
      <c r="L804">
        <v>1</v>
      </c>
      <c r="M804" t="s">
        <v>2052</v>
      </c>
      <c r="N804" t="s">
        <v>2714</v>
      </c>
      <c r="O804" t="s">
        <v>10</v>
      </c>
    </row>
    <row r="805" spans="1:16" x14ac:dyDescent="0.2">
      <c r="A805" t="s">
        <v>164</v>
      </c>
      <c r="B805">
        <v>109</v>
      </c>
      <c r="C805" t="s">
        <v>2059</v>
      </c>
      <c r="D805" t="s">
        <v>2066</v>
      </c>
      <c r="E805" t="s">
        <v>2067</v>
      </c>
      <c r="F805" t="s">
        <v>2134</v>
      </c>
      <c r="G805" t="s">
        <v>2135</v>
      </c>
      <c r="H805" t="s">
        <v>2136</v>
      </c>
      <c r="I805">
        <v>98.895027624309407</v>
      </c>
      <c r="J805" t="s">
        <v>2063</v>
      </c>
      <c r="K805">
        <v>2</v>
      </c>
      <c r="L805">
        <v>1</v>
      </c>
      <c r="M805" t="s">
        <v>8</v>
      </c>
      <c r="N805" t="s">
        <v>2037</v>
      </c>
      <c r="O805" t="s">
        <v>10</v>
      </c>
      <c r="P805" t="s">
        <v>2137</v>
      </c>
    </row>
    <row r="806" spans="1:16" x14ac:dyDescent="0.2">
      <c r="A806" t="s">
        <v>98</v>
      </c>
      <c r="B806">
        <v>53</v>
      </c>
      <c r="C806" t="s">
        <v>2059</v>
      </c>
      <c r="D806" t="s">
        <v>2066</v>
      </c>
      <c r="E806" t="s">
        <v>2080</v>
      </c>
      <c r="F806" t="s">
        <v>2110</v>
      </c>
      <c r="G806" t="s">
        <v>101</v>
      </c>
      <c r="I806">
        <v>98.895027624309407</v>
      </c>
      <c r="J806" t="s">
        <v>2063</v>
      </c>
      <c r="K806">
        <v>29</v>
      </c>
      <c r="L806">
        <v>1</v>
      </c>
      <c r="M806" t="s">
        <v>7</v>
      </c>
      <c r="N806" t="s">
        <v>2714</v>
      </c>
      <c r="O806" t="s">
        <v>10</v>
      </c>
    </row>
    <row r="807" spans="1:16" x14ac:dyDescent="0.2">
      <c r="A807" t="s">
        <v>907</v>
      </c>
      <c r="B807">
        <v>1016</v>
      </c>
      <c r="C807" t="s">
        <v>2059</v>
      </c>
      <c r="D807" t="s">
        <v>2066</v>
      </c>
      <c r="E807" t="s">
        <v>2080</v>
      </c>
      <c r="F807" t="s">
        <v>2389</v>
      </c>
      <c r="G807" t="s">
        <v>2390</v>
      </c>
      <c r="I807">
        <v>98.895027624309407</v>
      </c>
      <c r="J807" t="s">
        <v>2063</v>
      </c>
      <c r="K807">
        <v>13</v>
      </c>
      <c r="L807">
        <v>1</v>
      </c>
      <c r="M807" t="s">
        <v>7</v>
      </c>
      <c r="N807" t="s">
        <v>2714</v>
      </c>
      <c r="O807" t="s">
        <v>10</v>
      </c>
    </row>
    <row r="808" spans="1:16" x14ac:dyDescent="0.2">
      <c r="A808" t="s">
        <v>1137</v>
      </c>
      <c r="B808">
        <v>1346</v>
      </c>
      <c r="C808" t="s">
        <v>2059</v>
      </c>
      <c r="D808" t="s">
        <v>2066</v>
      </c>
      <c r="E808" t="s">
        <v>2360</v>
      </c>
      <c r="F808" t="s">
        <v>2361</v>
      </c>
      <c r="G808" t="s">
        <v>2362</v>
      </c>
      <c r="I808">
        <v>98.895027624309407</v>
      </c>
      <c r="J808" t="s">
        <v>2113</v>
      </c>
      <c r="K808">
        <v>33</v>
      </c>
      <c r="L808">
        <v>1</v>
      </c>
      <c r="M808" t="s">
        <v>7</v>
      </c>
      <c r="N808" t="s">
        <v>2038</v>
      </c>
      <c r="O808" t="s">
        <v>10</v>
      </c>
    </row>
    <row r="809" spans="1:16" x14ac:dyDescent="0.2">
      <c r="A809" t="s">
        <v>2581</v>
      </c>
      <c r="B809">
        <v>1956</v>
      </c>
      <c r="C809" t="s">
        <v>2059</v>
      </c>
      <c r="D809" t="s">
        <v>2069</v>
      </c>
      <c r="I809">
        <v>98.930481283422495</v>
      </c>
      <c r="J809" t="s">
        <v>2063</v>
      </c>
      <c r="K809">
        <v>1</v>
      </c>
      <c r="L809">
        <v>1</v>
      </c>
      <c r="M809" t="s">
        <v>2050</v>
      </c>
      <c r="N809" t="s">
        <v>2714</v>
      </c>
      <c r="O809" t="s">
        <v>10</v>
      </c>
    </row>
    <row r="810" spans="1:16" x14ac:dyDescent="0.2">
      <c r="A810" t="s">
        <v>2552</v>
      </c>
      <c r="B810">
        <v>1825</v>
      </c>
      <c r="C810" t="s">
        <v>2059</v>
      </c>
      <c r="D810" t="s">
        <v>2069</v>
      </c>
      <c r="E810" t="s">
        <v>2127</v>
      </c>
      <c r="F810" t="s">
        <v>2374</v>
      </c>
      <c r="I810">
        <v>99.415204678362599</v>
      </c>
      <c r="J810" t="s">
        <v>2063</v>
      </c>
      <c r="K810">
        <v>1</v>
      </c>
      <c r="L810">
        <v>1</v>
      </c>
      <c r="M810" t="s">
        <v>2052</v>
      </c>
      <c r="N810" t="s">
        <v>2714</v>
      </c>
      <c r="O810" t="s">
        <v>10</v>
      </c>
    </row>
    <row r="811" spans="1:16" x14ac:dyDescent="0.2">
      <c r="A811" t="s">
        <v>454</v>
      </c>
      <c r="B811">
        <v>395</v>
      </c>
      <c r="C811" t="s">
        <v>2059</v>
      </c>
      <c r="D811" t="s">
        <v>2066</v>
      </c>
      <c r="E811" t="s">
        <v>2090</v>
      </c>
      <c r="F811" t="s">
        <v>46</v>
      </c>
      <c r="I811">
        <v>99.438202247191001</v>
      </c>
      <c r="J811" t="s">
        <v>2063</v>
      </c>
      <c r="K811">
        <v>50</v>
      </c>
      <c r="L811">
        <v>1</v>
      </c>
      <c r="M811" t="s">
        <v>2052</v>
      </c>
      <c r="N811" t="s">
        <v>2714</v>
      </c>
      <c r="O811" t="s">
        <v>10</v>
      </c>
    </row>
    <row r="812" spans="1:16" x14ac:dyDescent="0.2">
      <c r="A812" t="s">
        <v>2350</v>
      </c>
      <c r="B812">
        <v>846</v>
      </c>
      <c r="C812" t="s">
        <v>2059</v>
      </c>
      <c r="D812" t="s">
        <v>2066</v>
      </c>
      <c r="E812" t="s">
        <v>2090</v>
      </c>
      <c r="F812" t="s">
        <v>46</v>
      </c>
      <c r="I812">
        <v>99.438202247191001</v>
      </c>
      <c r="J812" t="s">
        <v>2063</v>
      </c>
      <c r="K812">
        <v>50</v>
      </c>
      <c r="L812">
        <v>1</v>
      </c>
      <c r="M812" t="s">
        <v>2052</v>
      </c>
      <c r="N812" t="s">
        <v>2714</v>
      </c>
      <c r="O812" t="s">
        <v>10</v>
      </c>
    </row>
    <row r="813" spans="1:16" x14ac:dyDescent="0.2">
      <c r="A813" t="s">
        <v>1950</v>
      </c>
      <c r="B813">
        <v>2414</v>
      </c>
      <c r="C813" t="s">
        <v>2059</v>
      </c>
      <c r="D813" t="s">
        <v>2066</v>
      </c>
      <c r="E813" t="s">
        <v>2079</v>
      </c>
      <c r="F813" t="s">
        <v>177</v>
      </c>
      <c r="G813" t="s">
        <v>176</v>
      </c>
      <c r="I813">
        <v>99.4444444444444</v>
      </c>
      <c r="J813" t="s">
        <v>2063</v>
      </c>
      <c r="K813">
        <v>25</v>
      </c>
      <c r="L813">
        <v>1</v>
      </c>
      <c r="M813" t="s">
        <v>7</v>
      </c>
      <c r="N813" t="s">
        <v>2714</v>
      </c>
      <c r="O813" t="s">
        <v>10</v>
      </c>
    </row>
    <row r="814" spans="1:16" x14ac:dyDescent="0.2">
      <c r="A814" t="s">
        <v>1225</v>
      </c>
      <c r="B814">
        <v>1473</v>
      </c>
      <c r="C814" t="s">
        <v>2059</v>
      </c>
      <c r="D814" t="s">
        <v>2066</v>
      </c>
      <c r="E814" t="s">
        <v>2082</v>
      </c>
      <c r="F814" t="s">
        <v>2187</v>
      </c>
      <c r="G814" t="s">
        <v>351</v>
      </c>
      <c r="H814" t="s">
        <v>352</v>
      </c>
      <c r="I814">
        <v>99.4444444444444</v>
      </c>
      <c r="J814" t="s">
        <v>2063</v>
      </c>
      <c r="K814">
        <v>2</v>
      </c>
      <c r="L814">
        <v>1</v>
      </c>
      <c r="M814" t="s">
        <v>8</v>
      </c>
      <c r="N814" t="s">
        <v>2038</v>
      </c>
      <c r="O814" t="s">
        <v>10</v>
      </c>
      <c r="P814" t="s">
        <v>2188</v>
      </c>
    </row>
    <row r="815" spans="1:16" x14ac:dyDescent="0.2">
      <c r="A815" t="s">
        <v>2359</v>
      </c>
      <c r="B815">
        <v>892</v>
      </c>
      <c r="C815" t="s">
        <v>2059</v>
      </c>
      <c r="D815" t="s">
        <v>2069</v>
      </c>
      <c r="I815">
        <v>99.447513812154696</v>
      </c>
      <c r="J815" t="s">
        <v>2063</v>
      </c>
      <c r="K815">
        <v>1</v>
      </c>
      <c r="L815">
        <v>1</v>
      </c>
      <c r="M815" t="s">
        <v>2050</v>
      </c>
      <c r="N815" t="s">
        <v>2714</v>
      </c>
      <c r="O815" t="s">
        <v>10</v>
      </c>
    </row>
    <row r="816" spans="1:16" x14ac:dyDescent="0.2">
      <c r="A816" t="s">
        <v>1373</v>
      </c>
      <c r="B816">
        <v>1629</v>
      </c>
      <c r="C816" t="s">
        <v>2059</v>
      </c>
      <c r="D816" t="s">
        <v>2066</v>
      </c>
      <c r="E816" t="s">
        <v>2079</v>
      </c>
      <c r="F816" t="s">
        <v>464</v>
      </c>
      <c r="G816" t="s">
        <v>1374</v>
      </c>
      <c r="I816">
        <v>99.447513812154696</v>
      </c>
      <c r="J816" t="s">
        <v>2063</v>
      </c>
      <c r="K816">
        <v>8</v>
      </c>
      <c r="L816">
        <v>1</v>
      </c>
      <c r="M816" t="s">
        <v>7</v>
      </c>
      <c r="N816" t="s">
        <v>2714</v>
      </c>
      <c r="O816" t="s">
        <v>10</v>
      </c>
    </row>
    <row r="817" spans="1:16" x14ac:dyDescent="0.2">
      <c r="A817" t="s">
        <v>274</v>
      </c>
      <c r="B817">
        <v>190</v>
      </c>
      <c r="C817" t="s">
        <v>2059</v>
      </c>
      <c r="D817" t="s">
        <v>2066</v>
      </c>
      <c r="E817" t="s">
        <v>2079</v>
      </c>
      <c r="F817" t="s">
        <v>111</v>
      </c>
      <c r="G817" t="s">
        <v>2112</v>
      </c>
      <c r="I817">
        <v>99.447513812154696</v>
      </c>
      <c r="J817" t="s">
        <v>2113</v>
      </c>
      <c r="K817">
        <v>1</v>
      </c>
      <c r="L817">
        <v>1</v>
      </c>
      <c r="M817" t="s">
        <v>7</v>
      </c>
      <c r="N817" t="s">
        <v>2714</v>
      </c>
      <c r="O817" t="s">
        <v>10</v>
      </c>
    </row>
    <row r="818" spans="1:16" hidden="1" x14ac:dyDescent="0.2">
      <c r="A818" t="s">
        <v>1770</v>
      </c>
      <c r="B818">
        <v>2182</v>
      </c>
      <c r="C818" t="s">
        <v>2059</v>
      </c>
      <c r="D818" t="s">
        <v>2066</v>
      </c>
      <c r="E818" t="s">
        <v>2086</v>
      </c>
      <c r="F818" t="s">
        <v>2100</v>
      </c>
      <c r="G818" t="s">
        <v>2631</v>
      </c>
      <c r="H818" t="s">
        <v>2632</v>
      </c>
      <c r="I818">
        <v>100</v>
      </c>
      <c r="J818" t="s">
        <v>2063</v>
      </c>
      <c r="K818">
        <v>30</v>
      </c>
      <c r="L818">
        <v>1</v>
      </c>
      <c r="M818" t="s">
        <v>8</v>
      </c>
      <c r="N818" t="s">
        <v>2038</v>
      </c>
      <c r="O818" t="s">
        <v>10</v>
      </c>
      <c r="P818" t="s">
        <v>2633</v>
      </c>
    </row>
    <row r="819" spans="1:16" x14ac:dyDescent="0.2">
      <c r="A819" t="s">
        <v>541</v>
      </c>
      <c r="B819">
        <v>528</v>
      </c>
      <c r="C819" t="s">
        <v>2059</v>
      </c>
      <c r="D819" t="s">
        <v>2066</v>
      </c>
      <c r="E819" t="s">
        <v>2079</v>
      </c>
      <c r="F819" t="s">
        <v>111</v>
      </c>
      <c r="I819">
        <v>99.447513812154696</v>
      </c>
      <c r="J819" t="s">
        <v>2063</v>
      </c>
      <c r="K819">
        <v>50</v>
      </c>
      <c r="L819">
        <v>1</v>
      </c>
      <c r="M819" t="s">
        <v>2052</v>
      </c>
      <c r="N819" t="s">
        <v>2714</v>
      </c>
      <c r="O819" t="s">
        <v>10</v>
      </c>
    </row>
    <row r="820" spans="1:16" x14ac:dyDescent="0.2">
      <c r="A820" t="s">
        <v>1154</v>
      </c>
      <c r="B820">
        <v>1384</v>
      </c>
      <c r="C820" t="s">
        <v>2059</v>
      </c>
      <c r="D820" t="s">
        <v>2066</v>
      </c>
      <c r="E820" t="s">
        <v>2079</v>
      </c>
      <c r="F820" t="s">
        <v>177</v>
      </c>
      <c r="G820" t="s">
        <v>176</v>
      </c>
      <c r="I820">
        <v>99.447513812154696</v>
      </c>
      <c r="J820" t="s">
        <v>2063</v>
      </c>
      <c r="K820">
        <v>7</v>
      </c>
      <c r="L820">
        <v>1</v>
      </c>
      <c r="M820" t="s">
        <v>7</v>
      </c>
      <c r="N820" t="s">
        <v>2714</v>
      </c>
      <c r="O820" t="s">
        <v>10</v>
      </c>
    </row>
    <row r="821" spans="1:16" x14ac:dyDescent="0.2">
      <c r="A821" t="s">
        <v>435</v>
      </c>
      <c r="B821">
        <v>367</v>
      </c>
      <c r="C821" t="s">
        <v>2059</v>
      </c>
      <c r="D821" t="s">
        <v>2066</v>
      </c>
      <c r="E821" t="s">
        <v>2079</v>
      </c>
      <c r="F821" t="s">
        <v>2223</v>
      </c>
      <c r="I821">
        <v>99.447513812154696</v>
      </c>
      <c r="J821" t="s">
        <v>2063</v>
      </c>
      <c r="K821">
        <v>50</v>
      </c>
      <c r="L821">
        <v>1</v>
      </c>
      <c r="M821" t="s">
        <v>2052</v>
      </c>
      <c r="N821" t="s">
        <v>2714</v>
      </c>
      <c r="O821" t="s">
        <v>10</v>
      </c>
    </row>
    <row r="822" spans="1:16" x14ac:dyDescent="0.2">
      <c r="A822" t="s">
        <v>1874</v>
      </c>
      <c r="B822">
        <v>2309</v>
      </c>
      <c r="C822" t="s">
        <v>2059</v>
      </c>
      <c r="D822" t="s">
        <v>2066</v>
      </c>
      <c r="E822" t="s">
        <v>2079</v>
      </c>
      <c r="F822" t="s">
        <v>1300</v>
      </c>
      <c r="G822" t="s">
        <v>1875</v>
      </c>
      <c r="I822">
        <v>99.447513812154696</v>
      </c>
      <c r="J822" t="s">
        <v>2063</v>
      </c>
      <c r="K822">
        <v>36</v>
      </c>
      <c r="L822">
        <v>1</v>
      </c>
      <c r="M822" t="s">
        <v>7</v>
      </c>
      <c r="N822" t="s">
        <v>2714</v>
      </c>
      <c r="O822" t="s">
        <v>10</v>
      </c>
    </row>
    <row r="823" spans="1:16" x14ac:dyDescent="0.2">
      <c r="A823" t="s">
        <v>623</v>
      </c>
      <c r="B823">
        <v>629</v>
      </c>
      <c r="C823" t="s">
        <v>2059</v>
      </c>
      <c r="D823" t="s">
        <v>2066</v>
      </c>
      <c r="E823" t="s">
        <v>2079</v>
      </c>
      <c r="F823" t="s">
        <v>2298</v>
      </c>
      <c r="G823" t="s">
        <v>862</v>
      </c>
      <c r="I823">
        <v>99.447513812154696</v>
      </c>
      <c r="J823" t="s">
        <v>2063</v>
      </c>
      <c r="K823">
        <v>50</v>
      </c>
      <c r="L823">
        <v>1</v>
      </c>
      <c r="M823" t="s">
        <v>7</v>
      </c>
      <c r="N823" t="s">
        <v>2714</v>
      </c>
      <c r="O823" t="s">
        <v>10</v>
      </c>
    </row>
    <row r="824" spans="1:16" x14ac:dyDescent="0.2">
      <c r="A824" t="s">
        <v>877</v>
      </c>
      <c r="B824">
        <v>951</v>
      </c>
      <c r="C824" t="s">
        <v>2059</v>
      </c>
      <c r="D824" t="s">
        <v>2066</v>
      </c>
      <c r="E824" t="s">
        <v>2067</v>
      </c>
      <c r="F824" t="s">
        <v>2134</v>
      </c>
      <c r="G824" t="s">
        <v>878</v>
      </c>
      <c r="H824" t="s">
        <v>879</v>
      </c>
      <c r="I824">
        <v>99.447513812154696</v>
      </c>
      <c r="J824" t="s">
        <v>2063</v>
      </c>
      <c r="K824">
        <v>1</v>
      </c>
      <c r="L824">
        <v>1</v>
      </c>
      <c r="M824" t="s">
        <v>8</v>
      </c>
      <c r="N824" t="s">
        <v>2037</v>
      </c>
      <c r="O824" t="s">
        <v>10</v>
      </c>
      <c r="P824" t="s">
        <v>2377</v>
      </c>
    </row>
    <row r="825" spans="1:16" x14ac:dyDescent="0.2">
      <c r="A825" t="s">
        <v>1858</v>
      </c>
      <c r="B825">
        <v>2289</v>
      </c>
      <c r="C825" t="s">
        <v>2059</v>
      </c>
      <c r="D825" t="s">
        <v>2066</v>
      </c>
      <c r="E825" t="s">
        <v>2080</v>
      </c>
      <c r="F825" t="s">
        <v>2193</v>
      </c>
      <c r="G825" t="s">
        <v>368</v>
      </c>
      <c r="I825">
        <v>99.447513812154696</v>
      </c>
      <c r="J825" t="s">
        <v>2063</v>
      </c>
      <c r="K825">
        <v>47</v>
      </c>
      <c r="L825">
        <v>1</v>
      </c>
      <c r="M825" t="s">
        <v>7</v>
      </c>
      <c r="N825" t="s">
        <v>2714</v>
      </c>
      <c r="O825" t="s">
        <v>10</v>
      </c>
    </row>
    <row r="826" spans="1:16" x14ac:dyDescent="0.2">
      <c r="A826" t="s">
        <v>1672</v>
      </c>
      <c r="B826">
        <v>2061</v>
      </c>
      <c r="C826" t="s">
        <v>2059</v>
      </c>
      <c r="D826" t="s">
        <v>2066</v>
      </c>
      <c r="E826" t="s">
        <v>2082</v>
      </c>
      <c r="F826" t="s">
        <v>255</v>
      </c>
      <c r="G826" t="s">
        <v>1052</v>
      </c>
      <c r="H826" t="s">
        <v>1053</v>
      </c>
      <c r="I826">
        <v>99.447513812154696</v>
      </c>
      <c r="J826" t="s">
        <v>2063</v>
      </c>
      <c r="K826">
        <v>19</v>
      </c>
      <c r="L826">
        <v>0.55882352941176505</v>
      </c>
      <c r="M826" t="s">
        <v>8</v>
      </c>
      <c r="N826" t="s">
        <v>2038</v>
      </c>
      <c r="O826" t="s">
        <v>10</v>
      </c>
      <c r="P826" t="s">
        <v>2439</v>
      </c>
    </row>
    <row r="827" spans="1:16" x14ac:dyDescent="0.2">
      <c r="A827" t="s">
        <v>662</v>
      </c>
      <c r="B827">
        <v>668</v>
      </c>
      <c r="C827" t="s">
        <v>2059</v>
      </c>
      <c r="D827" t="s">
        <v>2066</v>
      </c>
      <c r="E827" t="s">
        <v>2090</v>
      </c>
      <c r="F827" t="s">
        <v>46</v>
      </c>
      <c r="I827">
        <v>99.447513812154696</v>
      </c>
      <c r="J827" t="s">
        <v>2063</v>
      </c>
      <c r="K827">
        <v>51</v>
      </c>
      <c r="L827">
        <v>1</v>
      </c>
      <c r="M827" t="s">
        <v>2052</v>
      </c>
      <c r="N827" t="s">
        <v>2714</v>
      </c>
      <c r="O827" t="s">
        <v>10</v>
      </c>
    </row>
    <row r="828" spans="1:16" hidden="1" x14ac:dyDescent="0.2">
      <c r="A828" t="s">
        <v>1693</v>
      </c>
      <c r="B828">
        <v>2097</v>
      </c>
      <c r="C828" t="s">
        <v>2059</v>
      </c>
      <c r="D828" t="s">
        <v>2066</v>
      </c>
      <c r="E828" t="s">
        <v>2086</v>
      </c>
      <c r="F828" t="s">
        <v>2087</v>
      </c>
      <c r="G828" t="s">
        <v>2610</v>
      </c>
      <c r="H828" t="s">
        <v>2611</v>
      </c>
      <c r="I828">
        <v>100</v>
      </c>
      <c r="J828" t="s">
        <v>2063</v>
      </c>
      <c r="K828">
        <v>47</v>
      </c>
      <c r="L828">
        <v>1</v>
      </c>
      <c r="M828" t="s">
        <v>8</v>
      </c>
      <c r="N828" t="s">
        <v>2038</v>
      </c>
      <c r="O828" t="s">
        <v>10</v>
      </c>
      <c r="P828" t="s">
        <v>2612</v>
      </c>
    </row>
    <row r="829" spans="1:16" hidden="1" x14ac:dyDescent="0.2">
      <c r="A829" t="s">
        <v>172</v>
      </c>
      <c r="B829">
        <v>122</v>
      </c>
      <c r="C829" t="s">
        <v>2059</v>
      </c>
      <c r="D829" t="s">
        <v>2066</v>
      </c>
      <c r="E829" t="s">
        <v>2086</v>
      </c>
      <c r="F829" t="s">
        <v>2087</v>
      </c>
      <c r="G829" t="s">
        <v>2088</v>
      </c>
      <c r="H829" t="s">
        <v>2139</v>
      </c>
      <c r="I829">
        <v>97.237569060773495</v>
      </c>
      <c r="J829" t="s">
        <v>2063</v>
      </c>
      <c r="K829">
        <v>4</v>
      </c>
      <c r="L829">
        <v>1</v>
      </c>
      <c r="M829" t="s">
        <v>8</v>
      </c>
      <c r="N829" t="s">
        <v>2038</v>
      </c>
      <c r="O829" t="s">
        <v>10</v>
      </c>
      <c r="P829" t="s">
        <v>2140</v>
      </c>
    </row>
    <row r="830" spans="1:16" x14ac:dyDescent="0.2">
      <c r="A830" t="s">
        <v>752</v>
      </c>
      <c r="B830">
        <v>780</v>
      </c>
      <c r="C830" t="s">
        <v>2059</v>
      </c>
      <c r="D830" t="s">
        <v>2066</v>
      </c>
      <c r="E830" t="s">
        <v>2090</v>
      </c>
      <c r="F830" t="s">
        <v>46</v>
      </c>
      <c r="I830">
        <v>99.447513812154696</v>
      </c>
      <c r="J830" t="s">
        <v>2063</v>
      </c>
      <c r="K830">
        <v>51</v>
      </c>
      <c r="L830">
        <v>1</v>
      </c>
      <c r="M830" t="s">
        <v>2052</v>
      </c>
      <c r="N830" t="s">
        <v>2714</v>
      </c>
      <c r="O830" t="s">
        <v>10</v>
      </c>
    </row>
    <row r="831" spans="1:16" x14ac:dyDescent="0.2">
      <c r="A831" t="s">
        <v>905</v>
      </c>
      <c r="B831">
        <v>1012</v>
      </c>
      <c r="C831" t="s">
        <v>2059</v>
      </c>
      <c r="D831" t="s">
        <v>2066</v>
      </c>
      <c r="E831" t="s">
        <v>2086</v>
      </c>
      <c r="F831" t="s">
        <v>2087</v>
      </c>
      <c r="G831" t="s">
        <v>2088</v>
      </c>
      <c r="I831">
        <v>99.447513812154696</v>
      </c>
      <c r="J831" t="s">
        <v>2063</v>
      </c>
      <c r="K831">
        <v>6</v>
      </c>
      <c r="L831">
        <v>1</v>
      </c>
      <c r="M831" t="s">
        <v>7</v>
      </c>
      <c r="N831" t="s">
        <v>2714</v>
      </c>
      <c r="O831" t="s">
        <v>10</v>
      </c>
    </row>
    <row r="832" spans="1:16" x14ac:dyDescent="0.2">
      <c r="A832" t="s">
        <v>529</v>
      </c>
      <c r="B832">
        <v>524</v>
      </c>
      <c r="C832" t="s">
        <v>2059</v>
      </c>
      <c r="D832" t="s">
        <v>2066</v>
      </c>
      <c r="E832" t="s">
        <v>2074</v>
      </c>
      <c r="F832" t="s">
        <v>2075</v>
      </c>
      <c r="G832" t="s">
        <v>532</v>
      </c>
      <c r="H832" t="s">
        <v>533</v>
      </c>
      <c r="I832">
        <v>99.456521739130395</v>
      </c>
      <c r="J832" t="s">
        <v>2063</v>
      </c>
      <c r="K832">
        <v>5</v>
      </c>
      <c r="L832">
        <v>1</v>
      </c>
      <c r="M832" t="s">
        <v>8</v>
      </c>
      <c r="N832" t="s">
        <v>2038</v>
      </c>
      <c r="O832" t="s">
        <v>10</v>
      </c>
      <c r="P832" t="s">
        <v>2264</v>
      </c>
    </row>
    <row r="833" spans="1:16" x14ac:dyDescent="0.2">
      <c r="A833" t="s">
        <v>2580</v>
      </c>
      <c r="B833">
        <v>1949</v>
      </c>
      <c r="C833" t="s">
        <v>2059</v>
      </c>
      <c r="D833" t="s">
        <v>2069</v>
      </c>
      <c r="I833">
        <v>99.465240641711205</v>
      </c>
      <c r="J833" t="s">
        <v>2063</v>
      </c>
      <c r="K833">
        <v>1</v>
      </c>
      <c r="L833">
        <v>1</v>
      </c>
      <c r="M833" t="s">
        <v>2050</v>
      </c>
      <c r="N833" t="s">
        <v>2714</v>
      </c>
      <c r="O833" t="s">
        <v>10</v>
      </c>
    </row>
    <row r="834" spans="1:16" x14ac:dyDescent="0.2">
      <c r="A834" t="s">
        <v>2373</v>
      </c>
      <c r="B834">
        <v>937</v>
      </c>
      <c r="C834" t="s">
        <v>2059</v>
      </c>
      <c r="D834" t="s">
        <v>2069</v>
      </c>
      <c r="E834" t="s">
        <v>2127</v>
      </c>
      <c r="F834" t="s">
        <v>2374</v>
      </c>
      <c r="I834">
        <v>100</v>
      </c>
      <c r="J834" t="s">
        <v>2063</v>
      </c>
      <c r="K834">
        <v>1</v>
      </c>
      <c r="L834">
        <v>1</v>
      </c>
      <c r="M834" t="s">
        <v>2052</v>
      </c>
      <c r="N834" t="s">
        <v>2714</v>
      </c>
      <c r="O834" t="s">
        <v>10</v>
      </c>
    </row>
    <row r="835" spans="1:16" x14ac:dyDescent="0.2">
      <c r="A835" t="s">
        <v>2440</v>
      </c>
      <c r="B835">
        <v>1260</v>
      </c>
      <c r="C835" t="s">
        <v>2059</v>
      </c>
      <c r="D835" t="s">
        <v>2069</v>
      </c>
      <c r="E835" t="s">
        <v>2127</v>
      </c>
      <c r="F835" t="s">
        <v>2374</v>
      </c>
      <c r="I835">
        <v>100</v>
      </c>
      <c r="J835" t="s">
        <v>2063</v>
      </c>
      <c r="K835">
        <v>1</v>
      </c>
      <c r="L835">
        <v>1</v>
      </c>
      <c r="M835" t="s">
        <v>2052</v>
      </c>
      <c r="N835" t="s">
        <v>2714</v>
      </c>
      <c r="O835" t="s">
        <v>10</v>
      </c>
    </row>
    <row r="836" spans="1:16" x14ac:dyDescent="0.2">
      <c r="A836" t="s">
        <v>2196</v>
      </c>
      <c r="B836">
        <v>285</v>
      </c>
      <c r="C836" t="s">
        <v>2059</v>
      </c>
      <c r="D836" t="s">
        <v>2069</v>
      </c>
      <c r="E836" t="s">
        <v>2070</v>
      </c>
      <c r="F836" t="s">
        <v>2197</v>
      </c>
      <c r="I836">
        <v>100</v>
      </c>
      <c r="J836" t="s">
        <v>2063</v>
      </c>
      <c r="K836">
        <v>50</v>
      </c>
      <c r="L836">
        <v>1</v>
      </c>
      <c r="M836" t="s">
        <v>2052</v>
      </c>
      <c r="N836" t="s">
        <v>2714</v>
      </c>
      <c r="O836" t="s">
        <v>10</v>
      </c>
    </row>
    <row r="837" spans="1:16" x14ac:dyDescent="0.2">
      <c r="A837" t="s">
        <v>1030</v>
      </c>
      <c r="B837">
        <v>1214</v>
      </c>
      <c r="C837" t="s">
        <v>2059</v>
      </c>
      <c r="D837" t="s">
        <v>2069</v>
      </c>
      <c r="E837" t="s">
        <v>2070</v>
      </c>
      <c r="F837" t="s">
        <v>2431</v>
      </c>
      <c r="I837">
        <v>100</v>
      </c>
      <c r="J837" t="s">
        <v>2113</v>
      </c>
      <c r="K837">
        <v>12</v>
      </c>
      <c r="L837">
        <v>1</v>
      </c>
      <c r="M837" t="s">
        <v>2052</v>
      </c>
      <c r="N837" t="s">
        <v>2714</v>
      </c>
      <c r="O837" t="s">
        <v>10</v>
      </c>
    </row>
    <row r="838" spans="1:16" x14ac:dyDescent="0.2">
      <c r="A838" t="s">
        <v>2331</v>
      </c>
      <c r="B838">
        <v>751</v>
      </c>
      <c r="C838" t="s">
        <v>2059</v>
      </c>
      <c r="D838" t="s">
        <v>2069</v>
      </c>
      <c r="E838" t="s">
        <v>2070</v>
      </c>
      <c r="F838" t="s">
        <v>2332</v>
      </c>
      <c r="I838">
        <v>100</v>
      </c>
      <c r="J838" t="s">
        <v>2063</v>
      </c>
      <c r="K838">
        <v>50</v>
      </c>
      <c r="L838">
        <v>1</v>
      </c>
      <c r="M838" t="s">
        <v>2052</v>
      </c>
      <c r="N838" t="s">
        <v>2714</v>
      </c>
      <c r="O838" t="s">
        <v>10</v>
      </c>
    </row>
    <row r="839" spans="1:16" x14ac:dyDescent="0.2">
      <c r="A839" t="s">
        <v>737</v>
      </c>
      <c r="B839">
        <v>760</v>
      </c>
      <c r="C839" t="s">
        <v>2059</v>
      </c>
      <c r="D839" t="s">
        <v>2069</v>
      </c>
      <c r="E839" t="s">
        <v>2070</v>
      </c>
      <c r="F839" t="s">
        <v>64</v>
      </c>
      <c r="I839">
        <v>100</v>
      </c>
      <c r="J839" t="s">
        <v>2063</v>
      </c>
      <c r="K839">
        <v>2</v>
      </c>
      <c r="L839">
        <v>1</v>
      </c>
      <c r="M839" t="s">
        <v>2052</v>
      </c>
      <c r="N839" t="s">
        <v>2714</v>
      </c>
      <c r="O839" t="s">
        <v>10</v>
      </c>
    </row>
    <row r="840" spans="1:16" x14ac:dyDescent="0.2">
      <c r="A840" t="s">
        <v>1687</v>
      </c>
      <c r="B840">
        <v>2087</v>
      </c>
      <c r="C840" t="s">
        <v>2059</v>
      </c>
      <c r="D840" t="s">
        <v>2060</v>
      </c>
      <c r="E840" t="s">
        <v>2061</v>
      </c>
      <c r="F840" t="s">
        <v>119</v>
      </c>
      <c r="G840" t="s">
        <v>238</v>
      </c>
      <c r="H840" t="s">
        <v>519</v>
      </c>
      <c r="I840">
        <v>100</v>
      </c>
      <c r="J840" t="s">
        <v>2063</v>
      </c>
      <c r="K840">
        <v>49</v>
      </c>
      <c r="L840">
        <v>1</v>
      </c>
      <c r="M840" t="s">
        <v>8</v>
      </c>
      <c r="N840" t="s">
        <v>2038</v>
      </c>
      <c r="O840" t="s">
        <v>10</v>
      </c>
      <c r="P840" t="s">
        <v>2258</v>
      </c>
    </row>
    <row r="841" spans="1:16" x14ac:dyDescent="0.2">
      <c r="A841" t="s">
        <v>2382</v>
      </c>
      <c r="B841">
        <v>974</v>
      </c>
      <c r="C841" t="s">
        <v>2059</v>
      </c>
      <c r="D841" t="s">
        <v>2060</v>
      </c>
      <c r="E841" t="s">
        <v>2383</v>
      </c>
      <c r="F841" t="s">
        <v>2384</v>
      </c>
      <c r="I841">
        <v>100</v>
      </c>
      <c r="J841" t="s">
        <v>2063</v>
      </c>
      <c r="K841">
        <v>44</v>
      </c>
      <c r="L841">
        <v>0.88</v>
      </c>
      <c r="M841" t="s">
        <v>2052</v>
      </c>
      <c r="N841" t="s">
        <v>2714</v>
      </c>
      <c r="O841" t="s">
        <v>10</v>
      </c>
    </row>
    <row r="842" spans="1:16" hidden="1" x14ac:dyDescent="0.2">
      <c r="A842" t="s">
        <v>2224</v>
      </c>
      <c r="B842">
        <v>372</v>
      </c>
      <c r="C842" t="s">
        <v>2059</v>
      </c>
      <c r="D842" t="s">
        <v>2066</v>
      </c>
      <c r="E842" t="s">
        <v>2074</v>
      </c>
      <c r="F842" t="s">
        <v>2075</v>
      </c>
      <c r="G842" t="s">
        <v>2225</v>
      </c>
      <c r="H842" t="s">
        <v>2226</v>
      </c>
      <c r="I842">
        <v>100</v>
      </c>
      <c r="J842" t="s">
        <v>2063</v>
      </c>
      <c r="K842">
        <v>1</v>
      </c>
      <c r="L842">
        <v>1</v>
      </c>
      <c r="M842" t="s">
        <v>8</v>
      </c>
      <c r="N842" t="s">
        <v>2037</v>
      </c>
      <c r="O842" t="s">
        <v>10</v>
      </c>
      <c r="P842" t="s">
        <v>2227</v>
      </c>
    </row>
    <row r="843" spans="1:16" hidden="1" x14ac:dyDescent="0.2">
      <c r="A843" t="s">
        <v>2347</v>
      </c>
      <c r="B843">
        <v>833</v>
      </c>
      <c r="C843" t="s">
        <v>2059</v>
      </c>
      <c r="D843" t="s">
        <v>2066</v>
      </c>
      <c r="E843" t="s">
        <v>2074</v>
      </c>
      <c r="F843" t="s">
        <v>2075</v>
      </c>
      <c r="G843" t="s">
        <v>2225</v>
      </c>
      <c r="H843" t="s">
        <v>2226</v>
      </c>
      <c r="I843">
        <v>98.913043478260903</v>
      </c>
      <c r="J843" t="s">
        <v>2063</v>
      </c>
      <c r="K843">
        <v>1</v>
      </c>
      <c r="L843">
        <v>1</v>
      </c>
      <c r="M843" t="s">
        <v>8</v>
      </c>
      <c r="N843" t="s">
        <v>2037</v>
      </c>
      <c r="O843" t="s">
        <v>10</v>
      </c>
      <c r="P843" t="s">
        <v>2227</v>
      </c>
    </row>
    <row r="844" spans="1:16" hidden="1" x14ac:dyDescent="0.2">
      <c r="A844" t="s">
        <v>1249</v>
      </c>
      <c r="B844">
        <v>1508</v>
      </c>
      <c r="C844" t="s">
        <v>2059</v>
      </c>
      <c r="D844" t="s">
        <v>2066</v>
      </c>
      <c r="E844" t="s">
        <v>2074</v>
      </c>
      <c r="F844" t="s">
        <v>2075</v>
      </c>
      <c r="G844" t="s">
        <v>2225</v>
      </c>
      <c r="H844" t="s">
        <v>2226</v>
      </c>
      <c r="I844">
        <v>99.456521739130395</v>
      </c>
      <c r="J844" t="s">
        <v>2063</v>
      </c>
      <c r="K844">
        <v>1</v>
      </c>
      <c r="L844">
        <v>1</v>
      </c>
      <c r="M844" t="s">
        <v>8</v>
      </c>
      <c r="N844" t="s">
        <v>2037</v>
      </c>
      <c r="O844" t="s">
        <v>10</v>
      </c>
      <c r="P844" t="s">
        <v>2227</v>
      </c>
    </row>
    <row r="845" spans="1:16" hidden="1" x14ac:dyDescent="0.2">
      <c r="A845" t="s">
        <v>1287</v>
      </c>
      <c r="B845">
        <v>1545</v>
      </c>
      <c r="C845" t="s">
        <v>2059</v>
      </c>
      <c r="D845" t="s">
        <v>2066</v>
      </c>
      <c r="E845" t="s">
        <v>2074</v>
      </c>
      <c r="F845" t="s">
        <v>2075</v>
      </c>
      <c r="G845" t="s">
        <v>2225</v>
      </c>
      <c r="H845" t="s">
        <v>2226</v>
      </c>
      <c r="I845">
        <v>99.456521739130395</v>
      </c>
      <c r="J845" t="s">
        <v>2063</v>
      </c>
      <c r="K845">
        <v>1</v>
      </c>
      <c r="L845">
        <v>1</v>
      </c>
      <c r="M845" t="s">
        <v>8</v>
      </c>
      <c r="N845" t="s">
        <v>2037</v>
      </c>
      <c r="O845" t="s">
        <v>10</v>
      </c>
      <c r="P845" t="s">
        <v>2227</v>
      </c>
    </row>
    <row r="846" spans="1:16" hidden="1" x14ac:dyDescent="0.2">
      <c r="A846" t="s">
        <v>1798</v>
      </c>
      <c r="B846">
        <v>2217</v>
      </c>
      <c r="C846" t="s">
        <v>2059</v>
      </c>
      <c r="D846" t="s">
        <v>2066</v>
      </c>
      <c r="E846" t="s">
        <v>2074</v>
      </c>
      <c r="F846" t="s">
        <v>2075</v>
      </c>
      <c r="G846" t="s">
        <v>2225</v>
      </c>
      <c r="H846" t="s">
        <v>2226</v>
      </c>
      <c r="I846">
        <v>98.913043478260903</v>
      </c>
      <c r="J846" t="s">
        <v>2063</v>
      </c>
      <c r="K846">
        <v>1</v>
      </c>
      <c r="L846">
        <v>1</v>
      </c>
      <c r="M846" t="s">
        <v>8</v>
      </c>
      <c r="N846" t="s">
        <v>2037</v>
      </c>
      <c r="O846" t="s">
        <v>10</v>
      </c>
      <c r="P846" t="s">
        <v>2227</v>
      </c>
    </row>
    <row r="847" spans="1:16" x14ac:dyDescent="0.2">
      <c r="A847" t="s">
        <v>1393</v>
      </c>
      <c r="B847">
        <v>1657</v>
      </c>
      <c r="C847" t="s">
        <v>2059</v>
      </c>
      <c r="D847" t="s">
        <v>2066</v>
      </c>
      <c r="E847" t="s">
        <v>2079</v>
      </c>
      <c r="F847" t="s">
        <v>464</v>
      </c>
      <c r="G847" t="s">
        <v>1374</v>
      </c>
      <c r="I847">
        <v>100</v>
      </c>
      <c r="J847" t="s">
        <v>2063</v>
      </c>
      <c r="K847">
        <v>8</v>
      </c>
      <c r="L847">
        <v>1</v>
      </c>
      <c r="M847" t="s">
        <v>7</v>
      </c>
      <c r="N847" t="s">
        <v>2714</v>
      </c>
      <c r="O847" t="s">
        <v>10</v>
      </c>
    </row>
    <row r="848" spans="1:16" hidden="1" x14ac:dyDescent="0.2">
      <c r="A848" t="s">
        <v>1001</v>
      </c>
      <c r="B848">
        <v>1152</v>
      </c>
      <c r="C848" t="s">
        <v>2059</v>
      </c>
      <c r="D848" t="s">
        <v>2066</v>
      </c>
      <c r="E848" t="s">
        <v>2074</v>
      </c>
      <c r="F848" t="s">
        <v>2075</v>
      </c>
      <c r="G848" t="s">
        <v>1002</v>
      </c>
      <c r="H848" t="s">
        <v>1003</v>
      </c>
      <c r="I848">
        <v>100</v>
      </c>
      <c r="J848" t="s">
        <v>2063</v>
      </c>
      <c r="K848">
        <v>50</v>
      </c>
      <c r="L848">
        <v>1</v>
      </c>
      <c r="M848" t="s">
        <v>8</v>
      </c>
      <c r="N848" t="s">
        <v>2038</v>
      </c>
      <c r="O848" t="s">
        <v>10</v>
      </c>
      <c r="P848" t="s">
        <v>2427</v>
      </c>
    </row>
    <row r="849" spans="1:16" hidden="1" x14ac:dyDescent="0.2">
      <c r="A849" t="s">
        <v>1788</v>
      </c>
      <c r="B849">
        <v>2203</v>
      </c>
      <c r="C849" t="s">
        <v>2059</v>
      </c>
      <c r="D849" t="s">
        <v>2066</v>
      </c>
      <c r="E849" t="s">
        <v>2074</v>
      </c>
      <c r="F849" t="s">
        <v>2075</v>
      </c>
      <c r="G849" t="s">
        <v>1790</v>
      </c>
      <c r="H849" t="s">
        <v>1791</v>
      </c>
      <c r="I849">
        <v>100</v>
      </c>
      <c r="J849" t="s">
        <v>2063</v>
      </c>
      <c r="K849">
        <v>47</v>
      </c>
      <c r="L849">
        <v>1</v>
      </c>
      <c r="M849" t="s">
        <v>8</v>
      </c>
      <c r="N849" t="s">
        <v>2038</v>
      </c>
      <c r="O849" t="s">
        <v>10</v>
      </c>
      <c r="P849" t="s">
        <v>2640</v>
      </c>
    </row>
    <row r="850" spans="1:16" hidden="1" x14ac:dyDescent="0.2">
      <c r="A850" t="s">
        <v>2018</v>
      </c>
      <c r="B850">
        <v>2567</v>
      </c>
      <c r="C850" t="s">
        <v>2059</v>
      </c>
      <c r="D850" t="s">
        <v>2066</v>
      </c>
      <c r="E850" t="s">
        <v>2074</v>
      </c>
      <c r="F850" t="s">
        <v>2075</v>
      </c>
      <c r="G850" t="s">
        <v>1790</v>
      </c>
      <c r="H850" t="s">
        <v>1791</v>
      </c>
      <c r="I850">
        <v>99.456521739130395</v>
      </c>
      <c r="J850" t="s">
        <v>2063</v>
      </c>
      <c r="K850">
        <v>47</v>
      </c>
      <c r="L850">
        <v>1</v>
      </c>
      <c r="M850" t="s">
        <v>8</v>
      </c>
      <c r="N850" t="s">
        <v>2038</v>
      </c>
      <c r="O850" t="s">
        <v>10</v>
      </c>
      <c r="P850" t="s">
        <v>2640</v>
      </c>
    </row>
    <row r="851" spans="1:16" hidden="1" x14ac:dyDescent="0.2">
      <c r="A851" t="s">
        <v>1182</v>
      </c>
      <c r="B851">
        <v>1416</v>
      </c>
      <c r="C851" t="s">
        <v>2059</v>
      </c>
      <c r="D851" t="s">
        <v>2066</v>
      </c>
      <c r="E851" t="s">
        <v>2074</v>
      </c>
      <c r="F851" t="s">
        <v>2075</v>
      </c>
      <c r="G851" t="s">
        <v>1183</v>
      </c>
      <c r="H851" t="s">
        <v>1184</v>
      </c>
      <c r="I851">
        <v>100</v>
      </c>
      <c r="J851" t="s">
        <v>2063</v>
      </c>
      <c r="K851">
        <v>21</v>
      </c>
      <c r="L851">
        <v>1</v>
      </c>
      <c r="M851" t="s">
        <v>8</v>
      </c>
      <c r="N851" t="s">
        <v>2038</v>
      </c>
      <c r="O851" t="s">
        <v>10</v>
      </c>
      <c r="P851" t="s">
        <v>2474</v>
      </c>
    </row>
    <row r="852" spans="1:16" hidden="1" x14ac:dyDescent="0.2">
      <c r="A852" t="s">
        <v>19</v>
      </c>
      <c r="B852">
        <v>12</v>
      </c>
      <c r="C852" t="s">
        <v>2059</v>
      </c>
      <c r="D852" t="s">
        <v>2066</v>
      </c>
      <c r="E852" t="s">
        <v>2074</v>
      </c>
      <c r="F852" t="s">
        <v>2075</v>
      </c>
      <c r="G852" t="s">
        <v>20</v>
      </c>
      <c r="H852" t="s">
        <v>21</v>
      </c>
      <c r="I852">
        <v>100</v>
      </c>
      <c r="J852" t="s">
        <v>2063</v>
      </c>
      <c r="K852">
        <v>15</v>
      </c>
      <c r="L852">
        <v>1</v>
      </c>
      <c r="M852" t="s">
        <v>8</v>
      </c>
      <c r="N852" t="s">
        <v>2038</v>
      </c>
      <c r="O852" t="s">
        <v>10</v>
      </c>
      <c r="P852" t="s">
        <v>2076</v>
      </c>
    </row>
    <row r="853" spans="1:16" hidden="1" x14ac:dyDescent="0.2">
      <c r="A853" t="s">
        <v>1179</v>
      </c>
      <c r="B853">
        <v>1413</v>
      </c>
      <c r="C853" t="s">
        <v>2059</v>
      </c>
      <c r="D853" t="s">
        <v>2066</v>
      </c>
      <c r="E853" t="s">
        <v>2074</v>
      </c>
      <c r="F853" t="s">
        <v>2075</v>
      </c>
      <c r="G853" t="s">
        <v>20</v>
      </c>
      <c r="I853">
        <v>100</v>
      </c>
      <c r="J853" t="s">
        <v>2063</v>
      </c>
      <c r="K853">
        <v>49</v>
      </c>
      <c r="L853">
        <v>1</v>
      </c>
      <c r="M853" t="s">
        <v>7</v>
      </c>
      <c r="N853" t="s">
        <v>2038</v>
      </c>
      <c r="O853" t="s">
        <v>10</v>
      </c>
    </row>
    <row r="854" spans="1:16" hidden="1" x14ac:dyDescent="0.2">
      <c r="A854" t="s">
        <v>261</v>
      </c>
      <c r="B854">
        <v>182</v>
      </c>
      <c r="C854" t="s">
        <v>2059</v>
      </c>
      <c r="D854" t="s">
        <v>2066</v>
      </c>
      <c r="E854" t="s">
        <v>2074</v>
      </c>
      <c r="F854" t="s">
        <v>2075</v>
      </c>
      <c r="I854">
        <v>93.529411764705898</v>
      </c>
      <c r="J854" t="s">
        <v>2113</v>
      </c>
      <c r="K854">
        <v>50</v>
      </c>
      <c r="L854">
        <v>1</v>
      </c>
      <c r="M854" t="s">
        <v>2052</v>
      </c>
      <c r="N854" t="s">
        <v>2038</v>
      </c>
      <c r="O854" t="s">
        <v>10</v>
      </c>
    </row>
    <row r="855" spans="1:16" hidden="1" x14ac:dyDescent="0.2">
      <c r="A855" t="s">
        <v>421</v>
      </c>
      <c r="B855">
        <v>353</v>
      </c>
      <c r="C855" t="s">
        <v>2059</v>
      </c>
      <c r="D855" t="s">
        <v>2066</v>
      </c>
      <c r="E855" t="s">
        <v>2074</v>
      </c>
      <c r="F855" t="s">
        <v>2075</v>
      </c>
      <c r="I855">
        <v>94.117647058823493</v>
      </c>
      <c r="J855" t="s">
        <v>2113</v>
      </c>
      <c r="K855">
        <v>50</v>
      </c>
      <c r="L855">
        <v>1</v>
      </c>
      <c r="M855" t="s">
        <v>2052</v>
      </c>
      <c r="N855" t="s">
        <v>2038</v>
      </c>
      <c r="O855" t="s">
        <v>10</v>
      </c>
    </row>
    <row r="856" spans="1:16" hidden="1" x14ac:dyDescent="0.2">
      <c r="A856" t="s">
        <v>2712</v>
      </c>
      <c r="B856">
        <v>2572</v>
      </c>
      <c r="C856" t="s">
        <v>2059</v>
      </c>
      <c r="D856" t="s">
        <v>2066</v>
      </c>
      <c r="E856" t="s">
        <v>2074</v>
      </c>
      <c r="I856">
        <v>90</v>
      </c>
      <c r="J856" t="s">
        <v>2063</v>
      </c>
      <c r="K856">
        <v>1</v>
      </c>
      <c r="L856">
        <v>1</v>
      </c>
      <c r="M856" t="s">
        <v>2051</v>
      </c>
      <c r="N856" t="s">
        <v>2038</v>
      </c>
      <c r="O856" t="s">
        <v>10</v>
      </c>
    </row>
    <row r="857" spans="1:16" hidden="1" x14ac:dyDescent="0.2">
      <c r="A857" t="s">
        <v>1751</v>
      </c>
      <c r="B857">
        <v>2171</v>
      </c>
      <c r="C857" t="s">
        <v>2059</v>
      </c>
      <c r="D857" t="s">
        <v>2066</v>
      </c>
      <c r="E857" t="s">
        <v>2627</v>
      </c>
      <c r="F857" t="s">
        <v>2628</v>
      </c>
      <c r="G857" t="s">
        <v>1753</v>
      </c>
      <c r="H857" t="s">
        <v>1754</v>
      </c>
      <c r="I857">
        <v>100</v>
      </c>
      <c r="J857" t="s">
        <v>2063</v>
      </c>
      <c r="K857">
        <v>35</v>
      </c>
      <c r="L857">
        <v>1</v>
      </c>
      <c r="M857" t="s">
        <v>8</v>
      </c>
      <c r="N857" t="s">
        <v>2038</v>
      </c>
      <c r="O857" t="s">
        <v>10</v>
      </c>
      <c r="P857" t="s">
        <v>2629</v>
      </c>
    </row>
    <row r="858" spans="1:16" hidden="1" x14ac:dyDescent="0.2">
      <c r="A858" t="s">
        <v>59</v>
      </c>
      <c r="B858">
        <v>25</v>
      </c>
      <c r="C858" t="s">
        <v>2059</v>
      </c>
      <c r="D858" t="s">
        <v>2095</v>
      </c>
      <c r="E858" t="s">
        <v>2096</v>
      </c>
      <c r="F858" t="s">
        <v>2097</v>
      </c>
      <c r="G858" t="s">
        <v>60</v>
      </c>
      <c r="H858" t="s">
        <v>61</v>
      </c>
      <c r="I858">
        <v>100</v>
      </c>
      <c r="J858" t="s">
        <v>2063</v>
      </c>
      <c r="K858">
        <v>37</v>
      </c>
      <c r="L858">
        <v>1</v>
      </c>
      <c r="M858" t="s">
        <v>8</v>
      </c>
      <c r="N858" t="s">
        <v>2038</v>
      </c>
      <c r="O858" t="s">
        <v>10</v>
      </c>
      <c r="P858" t="s">
        <v>2098</v>
      </c>
    </row>
    <row r="859" spans="1:16" hidden="1" x14ac:dyDescent="0.2">
      <c r="A859" t="s">
        <v>62</v>
      </c>
      <c r="B859">
        <v>29</v>
      </c>
      <c r="C859" t="s">
        <v>2059</v>
      </c>
      <c r="D859" t="s">
        <v>2095</v>
      </c>
      <c r="E859" t="s">
        <v>2096</v>
      </c>
      <c r="F859" t="s">
        <v>2097</v>
      </c>
      <c r="G859" t="s">
        <v>60</v>
      </c>
      <c r="H859" t="s">
        <v>61</v>
      </c>
      <c r="I859">
        <v>100</v>
      </c>
      <c r="J859" t="s">
        <v>2063</v>
      </c>
      <c r="K859">
        <v>37</v>
      </c>
      <c r="L859">
        <v>1</v>
      </c>
      <c r="M859" t="s">
        <v>8</v>
      </c>
      <c r="N859" t="s">
        <v>2038</v>
      </c>
      <c r="O859" t="s">
        <v>10</v>
      </c>
      <c r="P859" t="s">
        <v>2099</v>
      </c>
    </row>
    <row r="860" spans="1:16" hidden="1" x14ac:dyDescent="0.2">
      <c r="A860" t="s">
        <v>687</v>
      </c>
      <c r="B860">
        <v>688</v>
      </c>
      <c r="C860" t="s">
        <v>2059</v>
      </c>
      <c r="D860" t="s">
        <v>2095</v>
      </c>
      <c r="E860" t="s">
        <v>2096</v>
      </c>
      <c r="F860" t="s">
        <v>2097</v>
      </c>
      <c r="G860" t="s">
        <v>60</v>
      </c>
      <c r="H860" t="s">
        <v>61</v>
      </c>
      <c r="I860">
        <v>97.790055248618799</v>
      </c>
      <c r="J860" t="s">
        <v>2063</v>
      </c>
      <c r="K860">
        <v>35</v>
      </c>
      <c r="L860">
        <v>1</v>
      </c>
      <c r="M860" t="s">
        <v>8</v>
      </c>
      <c r="N860" t="s">
        <v>2038</v>
      </c>
      <c r="O860" t="s">
        <v>10</v>
      </c>
      <c r="P860" t="s">
        <v>2098</v>
      </c>
    </row>
    <row r="861" spans="1:16" hidden="1" x14ac:dyDescent="0.2">
      <c r="A861" t="s">
        <v>771</v>
      </c>
      <c r="B861">
        <v>810</v>
      </c>
      <c r="C861" t="s">
        <v>2059</v>
      </c>
      <c r="D861" t="s">
        <v>2095</v>
      </c>
      <c r="E861" t="s">
        <v>2096</v>
      </c>
      <c r="F861" t="s">
        <v>2097</v>
      </c>
      <c r="G861" t="s">
        <v>60</v>
      </c>
      <c r="H861" t="s">
        <v>61</v>
      </c>
      <c r="I861">
        <v>99.4444444444444</v>
      </c>
      <c r="J861" t="s">
        <v>2063</v>
      </c>
      <c r="K861">
        <v>37</v>
      </c>
      <c r="L861">
        <v>1</v>
      </c>
      <c r="M861" t="s">
        <v>8</v>
      </c>
      <c r="N861" t="s">
        <v>2038</v>
      </c>
      <c r="O861" t="s">
        <v>10</v>
      </c>
      <c r="P861" t="s">
        <v>2098</v>
      </c>
    </row>
    <row r="862" spans="1:16" hidden="1" x14ac:dyDescent="0.2">
      <c r="A862" t="s">
        <v>884</v>
      </c>
      <c r="B862">
        <v>977</v>
      </c>
      <c r="C862" t="s">
        <v>2059</v>
      </c>
      <c r="D862" t="s">
        <v>2095</v>
      </c>
      <c r="E862" t="s">
        <v>2096</v>
      </c>
      <c r="F862" t="s">
        <v>2097</v>
      </c>
      <c r="G862" t="s">
        <v>60</v>
      </c>
      <c r="H862" t="s">
        <v>61</v>
      </c>
      <c r="I862">
        <v>97.278911564625801</v>
      </c>
      <c r="J862" t="s">
        <v>2063</v>
      </c>
      <c r="K862">
        <v>2</v>
      </c>
      <c r="L862">
        <v>1</v>
      </c>
      <c r="M862" t="s">
        <v>8</v>
      </c>
      <c r="N862" t="s">
        <v>2038</v>
      </c>
      <c r="O862" t="s">
        <v>10</v>
      </c>
      <c r="P862" t="s">
        <v>2098</v>
      </c>
    </row>
    <row r="863" spans="1:16" hidden="1" x14ac:dyDescent="0.2">
      <c r="A863" t="s">
        <v>959</v>
      </c>
      <c r="B863">
        <v>1073</v>
      </c>
      <c r="C863" t="s">
        <v>2059</v>
      </c>
      <c r="D863" t="s">
        <v>2095</v>
      </c>
      <c r="E863" t="s">
        <v>2096</v>
      </c>
      <c r="F863" t="s">
        <v>2097</v>
      </c>
      <c r="G863" t="s">
        <v>60</v>
      </c>
      <c r="H863" t="s">
        <v>61</v>
      </c>
      <c r="I863">
        <v>98.895027624309407</v>
      </c>
      <c r="J863" t="s">
        <v>2063</v>
      </c>
      <c r="K863">
        <v>37</v>
      </c>
      <c r="L863">
        <v>1</v>
      </c>
      <c r="M863" t="s">
        <v>8</v>
      </c>
      <c r="N863" t="s">
        <v>2038</v>
      </c>
      <c r="O863" t="s">
        <v>10</v>
      </c>
      <c r="P863" t="s">
        <v>2099</v>
      </c>
    </row>
    <row r="864" spans="1:16" hidden="1" x14ac:dyDescent="0.2">
      <c r="A864" t="s">
        <v>1286</v>
      </c>
      <c r="B864">
        <v>1543</v>
      </c>
      <c r="C864" t="s">
        <v>2059</v>
      </c>
      <c r="D864" t="s">
        <v>2095</v>
      </c>
      <c r="E864" t="s">
        <v>2096</v>
      </c>
      <c r="F864" t="s">
        <v>2097</v>
      </c>
      <c r="G864" t="s">
        <v>60</v>
      </c>
      <c r="H864" t="s">
        <v>61</v>
      </c>
      <c r="I864">
        <v>98.342541436464103</v>
      </c>
      <c r="J864" t="s">
        <v>2063</v>
      </c>
      <c r="K864">
        <v>37</v>
      </c>
      <c r="L864">
        <v>1</v>
      </c>
      <c r="M864" t="s">
        <v>8</v>
      </c>
      <c r="N864" t="s">
        <v>2038</v>
      </c>
      <c r="O864" t="s">
        <v>10</v>
      </c>
      <c r="P864" t="s">
        <v>2099</v>
      </c>
    </row>
    <row r="865" spans="1:16" hidden="1" x14ac:dyDescent="0.2">
      <c r="A865" t="s">
        <v>1267</v>
      </c>
      <c r="B865">
        <v>1527</v>
      </c>
      <c r="C865" t="s">
        <v>2059</v>
      </c>
      <c r="D865" t="s">
        <v>2095</v>
      </c>
      <c r="E865" t="s">
        <v>2096</v>
      </c>
      <c r="F865" t="s">
        <v>2097</v>
      </c>
      <c r="G865" t="s">
        <v>60</v>
      </c>
      <c r="I865">
        <v>96.685082872928206</v>
      </c>
      <c r="J865" t="s">
        <v>2063</v>
      </c>
      <c r="K865">
        <v>39</v>
      </c>
      <c r="L865">
        <v>1</v>
      </c>
      <c r="M865" t="s">
        <v>7</v>
      </c>
      <c r="N865" t="s">
        <v>2038</v>
      </c>
      <c r="O865" t="s">
        <v>10</v>
      </c>
    </row>
    <row r="866" spans="1:16" hidden="1" x14ac:dyDescent="0.2">
      <c r="A866" t="s">
        <v>1822</v>
      </c>
      <c r="B866">
        <v>2243</v>
      </c>
      <c r="C866" t="s">
        <v>2059</v>
      </c>
      <c r="D866" t="s">
        <v>2095</v>
      </c>
      <c r="E866" t="s">
        <v>2096</v>
      </c>
      <c r="F866" t="s">
        <v>2097</v>
      </c>
      <c r="G866" t="s">
        <v>60</v>
      </c>
      <c r="I866">
        <v>96.132596685082902</v>
      </c>
      <c r="J866" t="s">
        <v>2063</v>
      </c>
      <c r="K866">
        <v>38</v>
      </c>
      <c r="L866">
        <v>1</v>
      </c>
      <c r="M866" t="s">
        <v>7</v>
      </c>
      <c r="N866" t="s">
        <v>2038</v>
      </c>
      <c r="O866" t="s">
        <v>10</v>
      </c>
    </row>
    <row r="867" spans="1:16" hidden="1" x14ac:dyDescent="0.2">
      <c r="A867" t="s">
        <v>898</v>
      </c>
      <c r="B867">
        <v>1003</v>
      </c>
      <c r="C867" t="s">
        <v>2059</v>
      </c>
      <c r="D867" t="s">
        <v>2095</v>
      </c>
      <c r="E867" t="s">
        <v>2096</v>
      </c>
      <c r="F867" t="s">
        <v>2097</v>
      </c>
      <c r="I867">
        <v>94.4444444444444</v>
      </c>
      <c r="J867" t="s">
        <v>2063</v>
      </c>
      <c r="K867">
        <v>39</v>
      </c>
      <c r="L867">
        <v>0.86666666666666703</v>
      </c>
      <c r="M867" t="s">
        <v>2052</v>
      </c>
      <c r="N867" t="s">
        <v>2038</v>
      </c>
      <c r="O867" t="s">
        <v>10</v>
      </c>
    </row>
    <row r="868" spans="1:16" hidden="1" x14ac:dyDescent="0.2">
      <c r="A868" t="s">
        <v>1505</v>
      </c>
      <c r="B868">
        <v>1845</v>
      </c>
      <c r="C868" t="s">
        <v>2059</v>
      </c>
      <c r="D868" t="s">
        <v>2095</v>
      </c>
      <c r="E868" t="s">
        <v>2096</v>
      </c>
      <c r="F868" t="s">
        <v>2097</v>
      </c>
      <c r="I868">
        <v>93.8888888888889</v>
      </c>
      <c r="J868" t="s">
        <v>2063</v>
      </c>
      <c r="K868">
        <v>39</v>
      </c>
      <c r="L868">
        <v>0.86666666666666703</v>
      </c>
      <c r="M868" t="s">
        <v>2052</v>
      </c>
      <c r="N868" t="s">
        <v>2038</v>
      </c>
      <c r="O868" t="s">
        <v>10</v>
      </c>
    </row>
    <row r="869" spans="1:16" hidden="1" x14ac:dyDescent="0.2">
      <c r="A869" t="s">
        <v>120</v>
      </c>
      <c r="B869">
        <v>69</v>
      </c>
      <c r="C869" t="s">
        <v>2059</v>
      </c>
      <c r="D869" t="s">
        <v>2095</v>
      </c>
      <c r="E869" t="s">
        <v>2118</v>
      </c>
      <c r="F869" t="s">
        <v>2119</v>
      </c>
      <c r="G869" t="s">
        <v>121</v>
      </c>
      <c r="H869" t="s">
        <v>122</v>
      </c>
      <c r="I869">
        <v>100</v>
      </c>
      <c r="J869" t="s">
        <v>2063</v>
      </c>
      <c r="K869">
        <v>35</v>
      </c>
      <c r="L869">
        <v>1</v>
      </c>
      <c r="M869" t="s">
        <v>8</v>
      </c>
      <c r="N869" t="s">
        <v>2038</v>
      </c>
      <c r="O869" t="s">
        <v>10</v>
      </c>
      <c r="P869" t="s">
        <v>2120</v>
      </c>
    </row>
    <row r="870" spans="1:16" hidden="1" x14ac:dyDescent="0.2">
      <c r="A870" t="s">
        <v>422</v>
      </c>
      <c r="B870">
        <v>354</v>
      </c>
      <c r="C870" t="s">
        <v>2059</v>
      </c>
      <c r="D870" t="s">
        <v>2095</v>
      </c>
      <c r="E870" t="s">
        <v>2118</v>
      </c>
      <c r="F870" t="s">
        <v>2119</v>
      </c>
      <c r="G870" t="s">
        <v>121</v>
      </c>
      <c r="H870" t="s">
        <v>122</v>
      </c>
      <c r="I870">
        <v>99.447513812154696</v>
      </c>
      <c r="J870" t="s">
        <v>2063</v>
      </c>
      <c r="K870">
        <v>35</v>
      </c>
      <c r="L870">
        <v>1</v>
      </c>
      <c r="M870" t="s">
        <v>8</v>
      </c>
      <c r="N870" t="s">
        <v>2038</v>
      </c>
      <c r="O870" t="s">
        <v>10</v>
      </c>
      <c r="P870" t="s">
        <v>2120</v>
      </c>
    </row>
    <row r="871" spans="1:16" hidden="1" x14ac:dyDescent="0.2">
      <c r="A871" t="s">
        <v>488</v>
      </c>
      <c r="B871">
        <v>454</v>
      </c>
      <c r="C871" t="s">
        <v>2059</v>
      </c>
      <c r="D871" t="s">
        <v>2095</v>
      </c>
      <c r="E871" t="s">
        <v>2118</v>
      </c>
      <c r="F871" t="s">
        <v>2119</v>
      </c>
      <c r="G871" t="s">
        <v>121</v>
      </c>
      <c r="H871" t="s">
        <v>122</v>
      </c>
      <c r="I871">
        <v>99.447513812154696</v>
      </c>
      <c r="J871" t="s">
        <v>2063</v>
      </c>
      <c r="K871">
        <v>35</v>
      </c>
      <c r="L871">
        <v>1</v>
      </c>
      <c r="M871" t="s">
        <v>8</v>
      </c>
      <c r="N871" t="s">
        <v>2038</v>
      </c>
      <c r="O871" t="s">
        <v>10</v>
      </c>
      <c r="P871" t="s">
        <v>2120</v>
      </c>
    </row>
    <row r="872" spans="1:16" hidden="1" x14ac:dyDescent="0.2">
      <c r="A872" t="s">
        <v>642</v>
      </c>
      <c r="B872">
        <v>644</v>
      </c>
      <c r="C872" t="s">
        <v>2059</v>
      </c>
      <c r="D872" t="s">
        <v>2095</v>
      </c>
      <c r="E872" t="s">
        <v>2118</v>
      </c>
      <c r="F872" t="s">
        <v>2119</v>
      </c>
      <c r="G872" t="s">
        <v>121</v>
      </c>
      <c r="H872" t="s">
        <v>122</v>
      </c>
      <c r="I872">
        <v>97.790055248618799</v>
      </c>
      <c r="J872" t="s">
        <v>2063</v>
      </c>
      <c r="K872">
        <v>35</v>
      </c>
      <c r="L872">
        <v>1</v>
      </c>
      <c r="M872" t="s">
        <v>8</v>
      </c>
      <c r="N872" t="s">
        <v>2038</v>
      </c>
      <c r="O872" t="s">
        <v>10</v>
      </c>
      <c r="P872" t="s">
        <v>2120</v>
      </c>
    </row>
    <row r="873" spans="1:16" hidden="1" x14ac:dyDescent="0.2">
      <c r="A873" t="s">
        <v>1016</v>
      </c>
      <c r="B873">
        <v>1193</v>
      </c>
      <c r="C873" t="s">
        <v>2059</v>
      </c>
      <c r="D873" t="s">
        <v>2095</v>
      </c>
      <c r="E873" t="s">
        <v>2118</v>
      </c>
      <c r="F873" t="s">
        <v>2119</v>
      </c>
      <c r="G873" t="s">
        <v>121</v>
      </c>
      <c r="H873" t="s">
        <v>122</v>
      </c>
      <c r="I873">
        <v>98.895027624309407</v>
      </c>
      <c r="J873" t="s">
        <v>2063</v>
      </c>
      <c r="K873">
        <v>35</v>
      </c>
      <c r="L873">
        <v>1</v>
      </c>
      <c r="M873" t="s">
        <v>8</v>
      </c>
      <c r="N873" t="s">
        <v>2038</v>
      </c>
      <c r="O873" t="s">
        <v>10</v>
      </c>
      <c r="P873" t="s">
        <v>2120</v>
      </c>
    </row>
    <row r="874" spans="1:16" hidden="1" x14ac:dyDescent="0.2">
      <c r="A874" t="s">
        <v>1904</v>
      </c>
      <c r="B874">
        <v>2332</v>
      </c>
      <c r="C874" t="s">
        <v>2059</v>
      </c>
      <c r="D874" t="s">
        <v>2095</v>
      </c>
      <c r="E874" t="s">
        <v>2118</v>
      </c>
      <c r="F874" t="s">
        <v>2119</v>
      </c>
      <c r="G874" t="s">
        <v>121</v>
      </c>
      <c r="I874">
        <v>96.685082872928206</v>
      </c>
      <c r="J874" t="s">
        <v>2063</v>
      </c>
      <c r="K874">
        <v>50</v>
      </c>
      <c r="L874">
        <v>1</v>
      </c>
      <c r="M874" t="s">
        <v>7</v>
      </c>
      <c r="N874" t="s">
        <v>2038</v>
      </c>
      <c r="O874" t="s">
        <v>10</v>
      </c>
    </row>
    <row r="875" spans="1:16" hidden="1" x14ac:dyDescent="0.2">
      <c r="A875" t="s">
        <v>1204</v>
      </c>
      <c r="B875">
        <v>1443</v>
      </c>
      <c r="C875" t="s">
        <v>2059</v>
      </c>
      <c r="D875" t="s">
        <v>2095</v>
      </c>
      <c r="E875" t="s">
        <v>2118</v>
      </c>
      <c r="F875" t="s">
        <v>2119</v>
      </c>
      <c r="I875">
        <v>95</v>
      </c>
      <c r="J875" t="s">
        <v>2063</v>
      </c>
      <c r="K875">
        <v>50</v>
      </c>
      <c r="L875">
        <v>1</v>
      </c>
      <c r="M875" t="s">
        <v>2052</v>
      </c>
      <c r="N875" t="s">
        <v>2038</v>
      </c>
      <c r="O875" t="s">
        <v>10</v>
      </c>
    </row>
    <row r="876" spans="1:16" hidden="1" x14ac:dyDescent="0.2">
      <c r="A876" t="s">
        <v>328</v>
      </c>
      <c r="B876">
        <v>240</v>
      </c>
      <c r="C876" t="s">
        <v>2059</v>
      </c>
      <c r="D876" t="s">
        <v>2095</v>
      </c>
      <c r="E876" t="s">
        <v>2118</v>
      </c>
      <c r="F876" t="s">
        <v>2178</v>
      </c>
      <c r="G876" t="s">
        <v>329</v>
      </c>
      <c r="H876" t="s">
        <v>330</v>
      </c>
      <c r="I876">
        <v>98.324022346368693</v>
      </c>
      <c r="J876" t="s">
        <v>2063</v>
      </c>
      <c r="K876">
        <v>46</v>
      </c>
      <c r="L876">
        <v>1</v>
      </c>
      <c r="M876" t="s">
        <v>8</v>
      </c>
      <c r="N876" t="s">
        <v>2038</v>
      </c>
      <c r="O876" t="s">
        <v>10</v>
      </c>
      <c r="P876" t="s">
        <v>2179</v>
      </c>
    </row>
    <row r="877" spans="1:16" hidden="1" x14ac:dyDescent="0.2">
      <c r="A877" t="s">
        <v>688</v>
      </c>
      <c r="B877">
        <v>690</v>
      </c>
      <c r="C877" t="s">
        <v>2059</v>
      </c>
      <c r="D877" t="s">
        <v>2095</v>
      </c>
      <c r="E877" t="s">
        <v>2118</v>
      </c>
      <c r="F877" t="s">
        <v>2178</v>
      </c>
      <c r="G877" t="s">
        <v>329</v>
      </c>
      <c r="H877" t="s">
        <v>330</v>
      </c>
      <c r="I877">
        <v>98.870056497175099</v>
      </c>
      <c r="J877" t="s">
        <v>2063</v>
      </c>
      <c r="K877">
        <v>47</v>
      </c>
      <c r="L877">
        <v>1</v>
      </c>
      <c r="M877" t="s">
        <v>8</v>
      </c>
      <c r="N877" t="s">
        <v>2038</v>
      </c>
      <c r="O877" t="s">
        <v>10</v>
      </c>
      <c r="P877" t="s">
        <v>2179</v>
      </c>
    </row>
    <row r="878" spans="1:16" hidden="1" x14ac:dyDescent="0.2">
      <c r="A878" t="s">
        <v>1067</v>
      </c>
      <c r="B878">
        <v>1270</v>
      </c>
      <c r="C878" t="s">
        <v>2059</v>
      </c>
      <c r="D878" t="s">
        <v>2095</v>
      </c>
      <c r="E878" t="s">
        <v>2118</v>
      </c>
      <c r="F878" t="s">
        <v>2178</v>
      </c>
      <c r="G878" t="s">
        <v>329</v>
      </c>
      <c r="H878" t="s">
        <v>330</v>
      </c>
      <c r="I878">
        <v>98.8826815642458</v>
      </c>
      <c r="J878" t="s">
        <v>2063</v>
      </c>
      <c r="K878">
        <v>46</v>
      </c>
      <c r="L878">
        <v>1</v>
      </c>
      <c r="M878" t="s">
        <v>8</v>
      </c>
      <c r="N878" t="s">
        <v>2038</v>
      </c>
      <c r="O878" t="s">
        <v>10</v>
      </c>
      <c r="P878" t="s">
        <v>2179</v>
      </c>
    </row>
    <row r="879" spans="1:16" hidden="1" x14ac:dyDescent="0.2">
      <c r="A879" t="s">
        <v>1967</v>
      </c>
      <c r="B879">
        <v>2478</v>
      </c>
      <c r="C879" t="s">
        <v>2059</v>
      </c>
      <c r="D879" t="s">
        <v>2095</v>
      </c>
      <c r="E879" t="s">
        <v>2118</v>
      </c>
      <c r="F879" t="s">
        <v>2178</v>
      </c>
      <c r="G879" t="s">
        <v>329</v>
      </c>
      <c r="H879" t="s">
        <v>330</v>
      </c>
      <c r="I879">
        <v>97.7653631284916</v>
      </c>
      <c r="J879" t="s">
        <v>2063</v>
      </c>
      <c r="K879">
        <v>46</v>
      </c>
      <c r="L879">
        <v>1</v>
      </c>
      <c r="M879" t="s">
        <v>8</v>
      </c>
      <c r="N879" t="s">
        <v>2038</v>
      </c>
      <c r="O879" t="s">
        <v>10</v>
      </c>
      <c r="P879" t="s">
        <v>2179</v>
      </c>
    </row>
    <row r="880" spans="1:16" hidden="1" x14ac:dyDescent="0.2">
      <c r="A880" t="s">
        <v>2330</v>
      </c>
      <c r="B880">
        <v>720</v>
      </c>
      <c r="C880" t="s">
        <v>2059</v>
      </c>
      <c r="D880" t="s">
        <v>2095</v>
      </c>
      <c r="E880" t="s">
        <v>2118</v>
      </c>
      <c r="F880" t="s">
        <v>2178</v>
      </c>
      <c r="I880">
        <v>90.178571428571402</v>
      </c>
      <c r="J880" t="s">
        <v>2113</v>
      </c>
      <c r="K880">
        <v>5</v>
      </c>
      <c r="L880">
        <v>1</v>
      </c>
      <c r="M880" t="s">
        <v>2052</v>
      </c>
      <c r="N880" t="s">
        <v>2038</v>
      </c>
      <c r="O880" t="s">
        <v>10</v>
      </c>
    </row>
    <row r="881" spans="1:16" hidden="1" x14ac:dyDescent="0.2">
      <c r="A881" t="s">
        <v>2467</v>
      </c>
      <c r="B881">
        <v>1385</v>
      </c>
      <c r="C881" t="s">
        <v>2059</v>
      </c>
      <c r="D881" t="s">
        <v>2095</v>
      </c>
      <c r="E881" t="s">
        <v>2118</v>
      </c>
      <c r="I881">
        <v>100</v>
      </c>
      <c r="J881" t="s">
        <v>2063</v>
      </c>
      <c r="K881">
        <v>2</v>
      </c>
      <c r="L881">
        <v>1</v>
      </c>
      <c r="M881" t="s">
        <v>2051</v>
      </c>
      <c r="N881" t="s">
        <v>2038</v>
      </c>
      <c r="O881" t="s">
        <v>10</v>
      </c>
    </row>
    <row r="882" spans="1:16" hidden="1" x14ac:dyDescent="0.2">
      <c r="A882" t="s">
        <v>2510</v>
      </c>
      <c r="B882">
        <v>1559</v>
      </c>
      <c r="C882" t="s">
        <v>2059</v>
      </c>
      <c r="D882" t="s">
        <v>2095</v>
      </c>
      <c r="E882" t="s">
        <v>2118</v>
      </c>
      <c r="I882">
        <v>100</v>
      </c>
      <c r="J882" t="s">
        <v>2063</v>
      </c>
      <c r="K882">
        <v>2</v>
      </c>
      <c r="L882">
        <v>1</v>
      </c>
      <c r="M882" t="s">
        <v>2051</v>
      </c>
      <c r="N882" t="s">
        <v>2038</v>
      </c>
      <c r="O882" t="s">
        <v>10</v>
      </c>
    </row>
    <row r="883" spans="1:16" hidden="1" x14ac:dyDescent="0.2">
      <c r="A883" t="s">
        <v>1487</v>
      </c>
      <c r="B883">
        <v>1827</v>
      </c>
      <c r="C883" t="s">
        <v>2059</v>
      </c>
      <c r="D883" t="s">
        <v>2553</v>
      </c>
      <c r="E883" t="s">
        <v>2554</v>
      </c>
      <c r="F883" t="s">
        <v>2555</v>
      </c>
      <c r="G883" t="s">
        <v>1489</v>
      </c>
      <c r="H883" t="s">
        <v>1488</v>
      </c>
      <c r="I883">
        <v>100</v>
      </c>
      <c r="J883" t="s">
        <v>2063</v>
      </c>
      <c r="K883">
        <v>5</v>
      </c>
      <c r="L883">
        <v>1</v>
      </c>
      <c r="M883" t="s">
        <v>8</v>
      </c>
      <c r="N883" t="s">
        <v>2038</v>
      </c>
      <c r="O883" t="s">
        <v>10</v>
      </c>
      <c r="P883" t="s">
        <v>2556</v>
      </c>
    </row>
    <row r="884" spans="1:16" x14ac:dyDescent="0.2">
      <c r="A884" t="s">
        <v>110</v>
      </c>
      <c r="B884">
        <v>60</v>
      </c>
      <c r="C884" t="s">
        <v>2059</v>
      </c>
      <c r="D884" t="s">
        <v>2066</v>
      </c>
      <c r="E884" t="s">
        <v>2079</v>
      </c>
      <c r="F884" t="s">
        <v>111</v>
      </c>
      <c r="G884" t="s">
        <v>2112</v>
      </c>
      <c r="I884">
        <v>100</v>
      </c>
      <c r="J884" t="s">
        <v>2113</v>
      </c>
      <c r="K884">
        <v>1</v>
      </c>
      <c r="L884">
        <v>1</v>
      </c>
      <c r="M884" t="s">
        <v>7</v>
      </c>
      <c r="N884" t="s">
        <v>2714</v>
      </c>
      <c r="O884" t="s">
        <v>10</v>
      </c>
    </row>
    <row r="885" spans="1:16" x14ac:dyDescent="0.2">
      <c r="A885" t="s">
        <v>504</v>
      </c>
      <c r="B885">
        <v>480</v>
      </c>
      <c r="C885" t="s">
        <v>2059</v>
      </c>
      <c r="D885" t="s">
        <v>2066</v>
      </c>
      <c r="E885" t="s">
        <v>2079</v>
      </c>
      <c r="F885" t="s">
        <v>111</v>
      </c>
      <c r="G885" t="s">
        <v>2112</v>
      </c>
      <c r="I885">
        <v>100</v>
      </c>
      <c r="J885" t="s">
        <v>2113</v>
      </c>
      <c r="K885">
        <v>1</v>
      </c>
      <c r="L885">
        <v>1</v>
      </c>
      <c r="M885" t="s">
        <v>7</v>
      </c>
      <c r="N885" t="s">
        <v>2714</v>
      </c>
      <c r="O885" t="s">
        <v>10</v>
      </c>
    </row>
    <row r="886" spans="1:16" x14ac:dyDescent="0.2">
      <c r="A886" t="s">
        <v>499</v>
      </c>
      <c r="B886">
        <v>477</v>
      </c>
      <c r="C886" t="s">
        <v>2059</v>
      </c>
      <c r="D886" t="s">
        <v>2066</v>
      </c>
      <c r="E886" t="s">
        <v>2079</v>
      </c>
      <c r="F886" t="s">
        <v>111</v>
      </c>
      <c r="G886" t="s">
        <v>2251</v>
      </c>
      <c r="I886">
        <v>100</v>
      </c>
      <c r="J886" t="s">
        <v>2113</v>
      </c>
      <c r="K886">
        <v>1</v>
      </c>
      <c r="L886">
        <v>0.5</v>
      </c>
      <c r="M886" t="s">
        <v>7</v>
      </c>
      <c r="N886" t="s">
        <v>2714</v>
      </c>
      <c r="O886" t="s">
        <v>10</v>
      </c>
    </row>
    <row r="887" spans="1:16" x14ac:dyDescent="0.2">
      <c r="A887" t="s">
        <v>1441</v>
      </c>
      <c r="B887">
        <v>1756</v>
      </c>
      <c r="C887" t="s">
        <v>2059</v>
      </c>
      <c r="D887" t="s">
        <v>2066</v>
      </c>
      <c r="E887" t="s">
        <v>2079</v>
      </c>
      <c r="F887" t="s">
        <v>111</v>
      </c>
      <c r="G887" t="s">
        <v>2542</v>
      </c>
      <c r="I887">
        <v>100</v>
      </c>
      <c r="J887" t="s">
        <v>2113</v>
      </c>
      <c r="K887">
        <v>8</v>
      </c>
      <c r="L887">
        <v>0.88888888888888895</v>
      </c>
      <c r="M887" t="s">
        <v>7</v>
      </c>
      <c r="N887" t="s">
        <v>2714</v>
      </c>
      <c r="O887" t="s">
        <v>10</v>
      </c>
    </row>
    <row r="888" spans="1:16" x14ac:dyDescent="0.2">
      <c r="A888" t="s">
        <v>1886</v>
      </c>
      <c r="B888">
        <v>2315</v>
      </c>
      <c r="C888" t="s">
        <v>2059</v>
      </c>
      <c r="D888" t="s">
        <v>2066</v>
      </c>
      <c r="E888" t="s">
        <v>2079</v>
      </c>
      <c r="F888" t="s">
        <v>111</v>
      </c>
      <c r="G888" t="s">
        <v>542</v>
      </c>
      <c r="I888">
        <v>100</v>
      </c>
      <c r="J888" t="s">
        <v>2063</v>
      </c>
      <c r="K888">
        <v>45</v>
      </c>
      <c r="L888">
        <v>1</v>
      </c>
      <c r="M888" t="s">
        <v>7</v>
      </c>
      <c r="N888" t="s">
        <v>2714</v>
      </c>
      <c r="O888" t="s">
        <v>10</v>
      </c>
    </row>
    <row r="889" spans="1:16" x14ac:dyDescent="0.2">
      <c r="A889" t="s">
        <v>718</v>
      </c>
      <c r="B889">
        <v>728</v>
      </c>
      <c r="C889" t="s">
        <v>2059</v>
      </c>
      <c r="D889" t="s">
        <v>2066</v>
      </c>
      <c r="E889" t="s">
        <v>2079</v>
      </c>
      <c r="F889" t="s">
        <v>720</v>
      </c>
      <c r="I889">
        <v>100</v>
      </c>
      <c r="J889" t="s">
        <v>2063</v>
      </c>
      <c r="K889">
        <v>50</v>
      </c>
      <c r="L889">
        <v>1</v>
      </c>
      <c r="M889" t="s">
        <v>2052</v>
      </c>
      <c r="N889" t="s">
        <v>2714</v>
      </c>
      <c r="O889" t="s">
        <v>10</v>
      </c>
    </row>
    <row r="890" spans="1:16" x14ac:dyDescent="0.2">
      <c r="A890" t="s">
        <v>1458</v>
      </c>
      <c r="B890">
        <v>1784</v>
      </c>
      <c r="C890" t="s">
        <v>2059</v>
      </c>
      <c r="D890" t="s">
        <v>2066</v>
      </c>
      <c r="E890" t="s">
        <v>2079</v>
      </c>
      <c r="F890" t="s">
        <v>2298</v>
      </c>
      <c r="G890" t="s">
        <v>645</v>
      </c>
      <c r="I890">
        <v>100</v>
      </c>
      <c r="J890" t="s">
        <v>2063</v>
      </c>
      <c r="K890">
        <v>1</v>
      </c>
      <c r="L890">
        <v>1</v>
      </c>
      <c r="M890" t="s">
        <v>7</v>
      </c>
      <c r="N890" t="s">
        <v>2714</v>
      </c>
      <c r="O890" t="s">
        <v>10</v>
      </c>
    </row>
    <row r="891" spans="1:16" x14ac:dyDescent="0.2">
      <c r="A891" t="s">
        <v>860</v>
      </c>
      <c r="B891">
        <v>933</v>
      </c>
      <c r="C891" t="s">
        <v>2059</v>
      </c>
      <c r="D891" t="s">
        <v>2066</v>
      </c>
      <c r="E891" t="s">
        <v>2079</v>
      </c>
      <c r="F891" t="s">
        <v>2298</v>
      </c>
      <c r="G891" t="s">
        <v>862</v>
      </c>
      <c r="I891">
        <v>100</v>
      </c>
      <c r="J891" t="s">
        <v>2063</v>
      </c>
      <c r="K891">
        <v>49</v>
      </c>
      <c r="L891">
        <v>1</v>
      </c>
      <c r="M891" t="s">
        <v>7</v>
      </c>
      <c r="N891" t="s">
        <v>2714</v>
      </c>
      <c r="O891" t="s">
        <v>10</v>
      </c>
    </row>
    <row r="892" spans="1:16" x14ac:dyDescent="0.2">
      <c r="A892" t="s">
        <v>885</v>
      </c>
      <c r="B892">
        <v>985</v>
      </c>
      <c r="C892" t="s">
        <v>2059</v>
      </c>
      <c r="D892" t="s">
        <v>2066</v>
      </c>
      <c r="E892" t="s">
        <v>2079</v>
      </c>
      <c r="F892" t="s">
        <v>886</v>
      </c>
      <c r="I892">
        <v>100</v>
      </c>
      <c r="J892" t="s">
        <v>2063</v>
      </c>
      <c r="K892">
        <v>50</v>
      </c>
      <c r="L892">
        <v>1</v>
      </c>
      <c r="M892" t="s">
        <v>2052</v>
      </c>
      <c r="N892" t="s">
        <v>2714</v>
      </c>
      <c r="O892" t="s">
        <v>10</v>
      </c>
    </row>
    <row r="893" spans="1:16" x14ac:dyDescent="0.2">
      <c r="A893" t="s">
        <v>73</v>
      </c>
      <c r="B893">
        <v>34</v>
      </c>
      <c r="C893" t="s">
        <v>2059</v>
      </c>
      <c r="D893" t="s">
        <v>2066</v>
      </c>
      <c r="E893" t="s">
        <v>2067</v>
      </c>
      <c r="F893" t="s">
        <v>2101</v>
      </c>
      <c r="I893">
        <v>100</v>
      </c>
      <c r="J893" t="s">
        <v>2063</v>
      </c>
      <c r="K893">
        <v>50</v>
      </c>
      <c r="L893">
        <v>1</v>
      </c>
      <c r="M893" t="s">
        <v>2052</v>
      </c>
      <c r="N893" t="s">
        <v>2714</v>
      </c>
      <c r="O893" t="s">
        <v>10</v>
      </c>
    </row>
    <row r="894" spans="1:16" x14ac:dyDescent="0.2">
      <c r="A894" t="s">
        <v>2033</v>
      </c>
      <c r="B894">
        <v>2600</v>
      </c>
      <c r="C894" t="s">
        <v>2059</v>
      </c>
      <c r="D894" t="s">
        <v>2066</v>
      </c>
      <c r="E894" t="s">
        <v>2080</v>
      </c>
      <c r="F894" t="s">
        <v>2402</v>
      </c>
      <c r="G894" t="s">
        <v>1564</v>
      </c>
      <c r="I894">
        <v>100</v>
      </c>
      <c r="J894" t="s">
        <v>2113</v>
      </c>
      <c r="K894">
        <v>1</v>
      </c>
      <c r="L894">
        <v>1</v>
      </c>
      <c r="M894" t="s">
        <v>7</v>
      </c>
      <c r="N894" t="s">
        <v>2714</v>
      </c>
      <c r="O894" t="s">
        <v>10</v>
      </c>
    </row>
    <row r="895" spans="1:16" x14ac:dyDescent="0.2">
      <c r="A895" t="s">
        <v>2505</v>
      </c>
      <c r="B895">
        <v>1549</v>
      </c>
      <c r="C895" t="s">
        <v>2059</v>
      </c>
      <c r="D895" t="s">
        <v>2066</v>
      </c>
      <c r="E895" t="s">
        <v>2080</v>
      </c>
      <c r="F895" t="s">
        <v>2110</v>
      </c>
      <c r="I895">
        <v>100</v>
      </c>
      <c r="J895" t="s">
        <v>2063</v>
      </c>
      <c r="K895">
        <v>51</v>
      </c>
      <c r="L895">
        <v>1</v>
      </c>
      <c r="M895" t="s">
        <v>2052</v>
      </c>
      <c r="N895" t="s">
        <v>2714</v>
      </c>
      <c r="O895" t="s">
        <v>10</v>
      </c>
    </row>
    <row r="896" spans="1:16" x14ac:dyDescent="0.2">
      <c r="A896" t="s">
        <v>366</v>
      </c>
      <c r="B896">
        <v>275</v>
      </c>
      <c r="C896" t="s">
        <v>2059</v>
      </c>
      <c r="D896" t="s">
        <v>2066</v>
      </c>
      <c r="E896" t="s">
        <v>2080</v>
      </c>
      <c r="F896" t="s">
        <v>2193</v>
      </c>
      <c r="G896" t="s">
        <v>368</v>
      </c>
      <c r="I896">
        <v>100</v>
      </c>
      <c r="J896" t="s">
        <v>2063</v>
      </c>
      <c r="K896">
        <v>49</v>
      </c>
      <c r="L896">
        <v>1</v>
      </c>
      <c r="M896" t="s">
        <v>7</v>
      </c>
      <c r="N896" t="s">
        <v>2714</v>
      </c>
      <c r="O896" t="s">
        <v>10</v>
      </c>
    </row>
    <row r="897" spans="1:16" x14ac:dyDescent="0.2">
      <c r="A897" t="s">
        <v>2695</v>
      </c>
      <c r="B897">
        <v>2476</v>
      </c>
      <c r="C897" t="s">
        <v>2059</v>
      </c>
      <c r="D897" t="s">
        <v>2066</v>
      </c>
      <c r="E897" t="s">
        <v>2080</v>
      </c>
      <c r="F897" t="s">
        <v>2389</v>
      </c>
      <c r="G897" t="s">
        <v>2696</v>
      </c>
      <c r="I897">
        <v>100</v>
      </c>
      <c r="J897" t="s">
        <v>2063</v>
      </c>
      <c r="K897">
        <v>7</v>
      </c>
      <c r="L897">
        <v>1</v>
      </c>
      <c r="M897" t="s">
        <v>7</v>
      </c>
      <c r="N897" t="s">
        <v>2714</v>
      </c>
      <c r="O897" t="s">
        <v>10</v>
      </c>
    </row>
    <row r="898" spans="1:16" x14ac:dyDescent="0.2">
      <c r="A898" t="s">
        <v>1880</v>
      </c>
      <c r="B898">
        <v>2312</v>
      </c>
      <c r="C898" t="s">
        <v>2059</v>
      </c>
      <c r="D898" t="s">
        <v>2066</v>
      </c>
      <c r="E898" t="s">
        <v>2082</v>
      </c>
      <c r="F898" t="s">
        <v>241</v>
      </c>
      <c r="G898" t="s">
        <v>1226</v>
      </c>
      <c r="H898" t="s">
        <v>2668</v>
      </c>
      <c r="I898">
        <v>100</v>
      </c>
      <c r="J898" t="s">
        <v>2063</v>
      </c>
      <c r="K898">
        <v>4</v>
      </c>
      <c r="L898">
        <v>1</v>
      </c>
      <c r="M898" t="s">
        <v>8</v>
      </c>
      <c r="N898" t="s">
        <v>2037</v>
      </c>
      <c r="O898" t="s">
        <v>10</v>
      </c>
      <c r="P898" t="s">
        <v>2669</v>
      </c>
    </row>
    <row r="899" spans="1:16" x14ac:dyDescent="0.2">
      <c r="A899" t="s">
        <v>1043</v>
      </c>
      <c r="B899">
        <v>1229</v>
      </c>
      <c r="C899" t="s">
        <v>2059</v>
      </c>
      <c r="D899" t="s">
        <v>2066</v>
      </c>
      <c r="E899" t="s">
        <v>2082</v>
      </c>
      <c r="F899" t="s">
        <v>241</v>
      </c>
      <c r="G899" t="s">
        <v>2326</v>
      </c>
      <c r="H899" t="s">
        <v>2433</v>
      </c>
      <c r="I899">
        <v>100</v>
      </c>
      <c r="J899" t="s">
        <v>2063</v>
      </c>
      <c r="K899">
        <v>25</v>
      </c>
      <c r="L899">
        <v>0.60975609756097604</v>
      </c>
      <c r="M899" t="s">
        <v>8</v>
      </c>
      <c r="N899" t="s">
        <v>2038</v>
      </c>
      <c r="O899" t="s">
        <v>10</v>
      </c>
      <c r="P899" t="s">
        <v>2434</v>
      </c>
    </row>
    <row r="900" spans="1:16" x14ac:dyDescent="0.2">
      <c r="A900" t="s">
        <v>1397</v>
      </c>
      <c r="B900">
        <v>1662</v>
      </c>
      <c r="C900" t="s">
        <v>2059</v>
      </c>
      <c r="D900" t="s">
        <v>2066</v>
      </c>
      <c r="E900" t="s">
        <v>2082</v>
      </c>
      <c r="F900" t="s">
        <v>2187</v>
      </c>
      <c r="G900" t="s">
        <v>351</v>
      </c>
      <c r="H900" t="s">
        <v>352</v>
      </c>
      <c r="I900">
        <v>100</v>
      </c>
      <c r="J900" t="s">
        <v>2063</v>
      </c>
      <c r="K900">
        <v>2</v>
      </c>
      <c r="L900">
        <v>1</v>
      </c>
      <c r="M900" t="s">
        <v>8</v>
      </c>
      <c r="N900" t="s">
        <v>2038</v>
      </c>
      <c r="O900" t="s">
        <v>10</v>
      </c>
      <c r="P900" t="s">
        <v>2188</v>
      </c>
    </row>
    <row r="901" spans="1:16" x14ac:dyDescent="0.2">
      <c r="A901" t="s">
        <v>1051</v>
      </c>
      <c r="B901">
        <v>1243</v>
      </c>
      <c r="C901" t="s">
        <v>2059</v>
      </c>
      <c r="D901" t="s">
        <v>2066</v>
      </c>
      <c r="E901" t="s">
        <v>2082</v>
      </c>
      <c r="F901" t="s">
        <v>255</v>
      </c>
      <c r="G901" t="s">
        <v>1052</v>
      </c>
      <c r="H901" t="s">
        <v>1053</v>
      </c>
      <c r="I901">
        <v>100</v>
      </c>
      <c r="J901" t="s">
        <v>2063</v>
      </c>
      <c r="K901">
        <v>19</v>
      </c>
      <c r="L901">
        <v>0.52777777777777801</v>
      </c>
      <c r="M901" t="s">
        <v>8</v>
      </c>
      <c r="N901" t="s">
        <v>2038</v>
      </c>
      <c r="O901" t="s">
        <v>10</v>
      </c>
      <c r="P901" t="s">
        <v>2439</v>
      </c>
    </row>
    <row r="902" spans="1:16" x14ac:dyDescent="0.2">
      <c r="A902" t="s">
        <v>1432</v>
      </c>
      <c r="B902">
        <v>1739</v>
      </c>
      <c r="C902" t="s">
        <v>2059</v>
      </c>
      <c r="D902" t="s">
        <v>2066</v>
      </c>
      <c r="E902" t="s">
        <v>2082</v>
      </c>
      <c r="F902" t="s">
        <v>255</v>
      </c>
      <c r="G902" t="s">
        <v>1052</v>
      </c>
      <c r="H902" t="s">
        <v>1053</v>
      </c>
      <c r="I902">
        <v>100</v>
      </c>
      <c r="J902" t="s">
        <v>2063</v>
      </c>
      <c r="K902">
        <v>19</v>
      </c>
      <c r="L902">
        <v>0.52777777777777801</v>
      </c>
      <c r="M902" t="s">
        <v>8</v>
      </c>
      <c r="N902" t="s">
        <v>2038</v>
      </c>
      <c r="O902" t="s">
        <v>10</v>
      </c>
      <c r="P902" t="s">
        <v>2439</v>
      </c>
    </row>
    <row r="903" spans="1:16" x14ac:dyDescent="0.2">
      <c r="A903" t="s">
        <v>181</v>
      </c>
      <c r="B903">
        <v>126</v>
      </c>
      <c r="C903" t="s">
        <v>2059</v>
      </c>
      <c r="D903" t="s">
        <v>2066</v>
      </c>
      <c r="E903" t="s">
        <v>2090</v>
      </c>
      <c r="F903" t="s">
        <v>46</v>
      </c>
      <c r="I903">
        <v>100</v>
      </c>
      <c r="J903" t="s">
        <v>2063</v>
      </c>
      <c r="K903">
        <v>50</v>
      </c>
      <c r="L903">
        <v>1</v>
      </c>
      <c r="M903" t="s">
        <v>2052</v>
      </c>
      <c r="N903" t="s">
        <v>2714</v>
      </c>
      <c r="O903" t="s">
        <v>10</v>
      </c>
    </row>
    <row r="904" spans="1:16" x14ac:dyDescent="0.2">
      <c r="A904" t="s">
        <v>286</v>
      </c>
      <c r="B904">
        <v>199</v>
      </c>
      <c r="C904" t="s">
        <v>2059</v>
      </c>
      <c r="D904" t="s">
        <v>2066</v>
      </c>
      <c r="E904" t="s">
        <v>2090</v>
      </c>
      <c r="F904" t="s">
        <v>46</v>
      </c>
      <c r="I904">
        <v>100</v>
      </c>
      <c r="J904" t="s">
        <v>2063</v>
      </c>
      <c r="K904">
        <v>51</v>
      </c>
      <c r="L904">
        <v>1</v>
      </c>
      <c r="M904" t="s">
        <v>2052</v>
      </c>
      <c r="N904" t="s">
        <v>2714</v>
      </c>
      <c r="O904" t="s">
        <v>10</v>
      </c>
    </row>
    <row r="905" spans="1:16" x14ac:dyDescent="0.2">
      <c r="A905" t="s">
        <v>1178</v>
      </c>
      <c r="B905">
        <v>1412</v>
      </c>
      <c r="C905" t="s">
        <v>2059</v>
      </c>
      <c r="D905" t="s">
        <v>2066</v>
      </c>
      <c r="E905" t="s">
        <v>2086</v>
      </c>
      <c r="F905" t="s">
        <v>2087</v>
      </c>
      <c r="G905" t="s">
        <v>2088</v>
      </c>
      <c r="I905">
        <v>100</v>
      </c>
      <c r="J905" t="s">
        <v>2063</v>
      </c>
      <c r="K905">
        <v>6</v>
      </c>
      <c r="L905">
        <v>1</v>
      </c>
      <c r="M905" t="s">
        <v>7</v>
      </c>
      <c r="N905" t="s">
        <v>2714</v>
      </c>
      <c r="O905" t="s">
        <v>10</v>
      </c>
    </row>
    <row r="906" spans="1:16" x14ac:dyDescent="0.2">
      <c r="A906" t="s">
        <v>161</v>
      </c>
      <c r="B906">
        <v>99</v>
      </c>
      <c r="C906" t="s">
        <v>2059</v>
      </c>
      <c r="D906" t="s">
        <v>2066</v>
      </c>
      <c r="E906" t="s">
        <v>2086</v>
      </c>
      <c r="F906" t="s">
        <v>2087</v>
      </c>
      <c r="I906">
        <v>100</v>
      </c>
      <c r="J906" t="s">
        <v>2063</v>
      </c>
      <c r="K906">
        <v>50</v>
      </c>
      <c r="L906">
        <v>1</v>
      </c>
      <c r="M906" t="s">
        <v>2052</v>
      </c>
      <c r="N906" t="s">
        <v>2714</v>
      </c>
      <c r="O906" t="s">
        <v>10</v>
      </c>
    </row>
    <row r="907" spans="1:16" x14ac:dyDescent="0.2">
      <c r="A907" t="s">
        <v>385</v>
      </c>
      <c r="B907">
        <v>304</v>
      </c>
      <c r="C907" t="s">
        <v>2059</v>
      </c>
      <c r="D907" t="s">
        <v>2066</v>
      </c>
      <c r="E907" t="s">
        <v>2086</v>
      </c>
      <c r="F907" t="s">
        <v>2087</v>
      </c>
      <c r="I907">
        <v>100</v>
      </c>
      <c r="J907" t="s">
        <v>2063</v>
      </c>
      <c r="K907">
        <v>50</v>
      </c>
      <c r="L907">
        <v>1</v>
      </c>
      <c r="M907" t="s">
        <v>2052</v>
      </c>
      <c r="N907" t="s">
        <v>2714</v>
      </c>
      <c r="O907" t="s">
        <v>10</v>
      </c>
    </row>
    <row r="908" spans="1:16" x14ac:dyDescent="0.2">
      <c r="A908" t="s">
        <v>2529</v>
      </c>
      <c r="B908">
        <v>1637</v>
      </c>
      <c r="C908" t="s">
        <v>2059</v>
      </c>
      <c r="D908" t="s">
        <v>2066</v>
      </c>
      <c r="E908" t="s">
        <v>2074</v>
      </c>
      <c r="F908" t="s">
        <v>2144</v>
      </c>
      <c r="I908">
        <v>100</v>
      </c>
      <c r="J908" t="s">
        <v>2063</v>
      </c>
      <c r="K908">
        <v>50</v>
      </c>
      <c r="L908">
        <v>1</v>
      </c>
      <c r="M908" t="s">
        <v>2052</v>
      </c>
      <c r="N908" t="s">
        <v>2714</v>
      </c>
      <c r="O908" t="s">
        <v>10</v>
      </c>
    </row>
    <row r="909" spans="1:16" x14ac:dyDescent="0.2">
      <c r="A909" t="s">
        <v>2689</v>
      </c>
      <c r="B909">
        <v>2413</v>
      </c>
      <c r="C909" t="s">
        <v>2059</v>
      </c>
      <c r="D909" t="s">
        <v>2066</v>
      </c>
      <c r="E909" t="s">
        <v>2074</v>
      </c>
      <c r="F909" t="s">
        <v>2075</v>
      </c>
      <c r="G909" t="s">
        <v>2690</v>
      </c>
      <c r="I909">
        <v>100</v>
      </c>
      <c r="J909" t="s">
        <v>2063</v>
      </c>
      <c r="K909">
        <v>1</v>
      </c>
      <c r="L909">
        <v>1</v>
      </c>
      <c r="M909" t="s">
        <v>7</v>
      </c>
      <c r="N909" t="s">
        <v>2038</v>
      </c>
      <c r="O909" t="s">
        <v>10</v>
      </c>
    </row>
  </sheetData>
  <autoFilter ref="A1:P909" xr:uid="{7FB2957F-FAC4-E947-9C58-B92A7D144EA5}">
    <filterColumn colId="13">
      <filters>
        <filter val="unknown"/>
      </filters>
    </filterColumn>
    <sortState xmlns:xlrd2="http://schemas.microsoft.com/office/spreadsheetml/2017/richdata2" ref="A8:P909">
      <sortCondition ref="I1:I909"/>
    </sortState>
  </autoFilter>
  <sortState xmlns:xlrd2="http://schemas.microsoft.com/office/spreadsheetml/2017/richdata2" ref="A2:P909">
    <sortCondition ref="D2:D909"/>
    <sortCondition ref="E2:E909"/>
    <sortCondition ref="F2:F909"/>
    <sortCondition ref="G2:G909"/>
    <sortCondition ref="H2:H909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taxonomy</vt:lpstr>
      <vt:lpstr>taxonomy_bold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svenweber</dc:creator>
  <cp:lastModifiedBy>Sven Weber</cp:lastModifiedBy>
  <dcterms:created xsi:type="dcterms:W3CDTF">2025-03-26T05:26:23Z</dcterms:created>
  <dcterms:modified xsi:type="dcterms:W3CDTF">2026-03-11T19:15:42Z</dcterms:modified>
</cp:coreProperties>
</file>